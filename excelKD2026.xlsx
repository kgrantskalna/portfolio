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Klases\10e\kgrantskalna\My Documents\"/>
    </mc:Choice>
  </mc:AlternateContent>
  <xr:revisionPtr revIDLastSave="0" documentId="13_ncr:1_{1D213B80-3D6A-4267-857C-5637807D21AB}" xr6:coauthVersionLast="47" xr6:coauthVersionMax="47" xr10:uidLastSave="{00000000-0000-0000-0000-000000000000}"/>
  <bookViews>
    <workbookView xWindow="1284" yWindow="60" windowWidth="21684" windowHeight="12084" tabRatio="704" firstSheet="1" activeTab="11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MTB" sheetId="27" r:id="rId11"/>
    <sheet name="velo" sheetId="23" r:id="rId12"/>
    <sheet name="KĀRLIS" sheetId="25" r:id="rId13"/>
    <sheet name="pH" sheetId="24" r:id="rId14"/>
  </sheets>
  <definedNames>
    <definedName name="_xlnm._FilterDatabase" localSheetId="11" hidden="1">velo!$B$1:$B$1487</definedName>
    <definedName name="_xlchart.v1.0" hidden="1">velo!$G$1</definedName>
    <definedName name="_xlchart.v1.1" hidden="1">velo!$G$2:$G$1487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Q19" i="24" a="1"/>
  <c r="Q19" i="24" s="1"/>
  <c r="I14" i="25"/>
  <c r="D29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N2" i="2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<sst xmlns="http://schemas.openxmlformats.org/spreadsheetml/2006/main" count="9274" uniqueCount="3922">
  <si>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</si>
  <si>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</si>
  <si>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</si>
  <si>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</si>
  <si>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</si>
  <si>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</si>
  <si>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</si>
  <si>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</si>
  <si>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</si>
  <si>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</si>
  <si>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</si>
  <si>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</si>
  <si>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</si>
  <si>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</si>
  <si>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</si>
  <si>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</si>
  <si>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</si>
  <si>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</si>
  <si>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</si>
  <si>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</si>
  <si>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</si>
  <si>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</si>
  <si>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</si>
  <si>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</si>
  <si>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</si>
  <si>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</si>
  <si>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</si>
  <si>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</si>
  <si>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</si>
  <si>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</si>
  <si>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</si>
  <si>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</si>
  <si>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</si>
  <si>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</si>
  <si>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</si>
  <si>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</si>
  <si>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</si>
  <si>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</si>
  <si>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</si>
  <si>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</si>
  <si>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</si>
  <si>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</si>
  <si>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</si>
  <si>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</si>
  <si>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</si>
  <si>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</si>
  <si>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</si>
  <si>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</si>
  <si>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</si>
  <si>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</si>
  <si>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</si>
  <si>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</si>
  <si>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</si>
  <si>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</si>
  <si>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</si>
  <si>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</si>
  <si>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</si>
  <si>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</si>
  <si>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</si>
  <si>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</si>
  <si>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</si>
  <si>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</si>
  <si>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</si>
  <si>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</si>
  <si>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</si>
  <si>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</si>
  <si>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</si>
  <si>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</si>
  <si>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</si>
  <si>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</si>
  <si>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</si>
  <si>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</si>
  <si>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</si>
  <si>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</si>
  <si>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</si>
  <si>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</si>
  <si>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</si>
  <si>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</si>
  <si>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</si>
  <si>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</si>
  <si>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</si>
  <si>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</si>
  <si>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</si>
  <si>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</si>
  <si>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</si>
  <si>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</si>
  <si>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</si>
  <si>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</si>
  <si>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</si>
  <si>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</si>
  <si>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</si>
  <si>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</si>
  <si>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</si>
  <si>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</si>
  <si>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</si>
  <si>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</si>
  <si>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</si>
  <si>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</si>
  <si>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</si>
  <si>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</si>
  <si>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</si>
  <si>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</si>
  <si>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</si>
  <si>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</si>
  <si>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</si>
  <si>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</si>
  <si>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</si>
  <si>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</si>
  <si>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</si>
  <si>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</si>
  <si>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</si>
  <si>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</si>
  <si>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</si>
  <si>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</si>
  <si>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</si>
  <si>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</si>
  <si>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</si>
  <si>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</si>
  <si>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</si>
  <si>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</si>
  <si>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</si>
  <si>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</si>
  <si>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</si>
  <si>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</si>
  <si>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</si>
  <si>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</si>
  <si>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</si>
  <si>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</si>
  <si>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</si>
  <si>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</si>
  <si>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</si>
  <si>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</si>
  <si>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</si>
  <si>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</si>
  <si>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</si>
  <si>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</si>
  <si>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</si>
  <si>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</si>
  <si>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</si>
  <si>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</si>
  <si>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</si>
  <si>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</si>
  <si>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</si>
  <si>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</si>
  <si>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</si>
  <si>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</si>
  <si>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</si>
  <si>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</si>
  <si>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</si>
  <si>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</si>
  <si>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</si>
  <si>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</si>
  <si>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</si>
  <si>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</si>
  <si>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</si>
  <si>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</si>
  <si>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</si>
  <si>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</si>
  <si>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</si>
  <si>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</si>
  <si>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</si>
  <si>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</si>
  <si>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</si>
  <si>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</si>
  <si>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</si>
  <si>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</si>
  <si>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</si>
  <si>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</si>
  <si>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</si>
  <si>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</si>
  <si>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</si>
  <si>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</si>
  <si>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</si>
  <si>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</si>
  <si>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</si>
  <si>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</si>
  <si>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</si>
  <si>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</si>
  <si>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</si>
  <si>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</si>
  <si>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</si>
  <si>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</si>
  <si>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</si>
  <si>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</si>
  <si>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</si>
  <si>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</si>
  <si>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</si>
  <si>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</si>
  <si>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</si>
  <si>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</si>
  <si>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</si>
  <si>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</si>
  <si>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</si>
  <si>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</si>
  <si>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</si>
  <si>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</si>
  <si>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</si>
  <si>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</si>
  <si>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</si>
  <si>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</si>
  <si>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</si>
  <si>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</si>
  <si>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</si>
  <si>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</si>
  <si>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</si>
  <si>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</si>
  <si>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</si>
  <si>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</si>
  <si>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</si>
  <si>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</si>
  <si>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</si>
  <si>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</si>
  <si>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</si>
  <si>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</si>
  <si>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</si>
  <si>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</si>
  <si>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</si>
  <si>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</si>
  <si>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</si>
  <si>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</si>
  <si>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</si>
  <si>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</si>
  <si>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</si>
  <si>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</si>
  <si>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</si>
  <si>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</si>
  <si>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</si>
  <si>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</si>
  <si>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</si>
  <si>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</si>
  <si>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</si>
  <si>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</si>
  <si>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</si>
  <si>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</si>
  <si>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</si>
  <si>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</si>
  <si>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</si>
  <si>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</si>
  <si>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</si>
  <si>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</si>
  <si>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</si>
  <si>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</si>
  <si>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</si>
  <si>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</si>
  <si>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</si>
  <si>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</si>
  <si>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</si>
  <si>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</si>
  <si>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</si>
  <si>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</si>
  <si>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</si>
  <si>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</si>
  <si>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</si>
  <si>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</si>
  <si>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</si>
  <si>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</si>
  <si>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</si>
  <si>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</si>
  <si>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</si>
  <si>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</si>
  <si>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</si>
  <si>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</si>
  <si>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</si>
  <si>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</si>
  <si>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</si>
  <si>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</si>
  <si>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</si>
  <si>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</si>
  <si>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</si>
  <si>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</si>
  <si>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</si>
  <si>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</si>
  <si>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</si>
  <si>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</si>
  <si>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</si>
  <si>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</si>
  <si>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</si>
  <si>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</si>
  <si>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</si>
  <si>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</si>
  <si>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</si>
  <si>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</si>
  <si>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</si>
  <si>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</si>
  <si>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</si>
  <si>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</si>
  <si>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</si>
  <si>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</si>
  <si>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</si>
  <si>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</si>
  <si>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</si>
  <si>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</si>
  <si>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</si>
  <si>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</si>
  <si>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</si>
  <si>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</si>
  <si>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</si>
  <si>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</si>
  <si>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</si>
  <si>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</si>
  <si>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</si>
  <si>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</si>
  <si>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</si>
  <si>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</si>
  <si>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</si>
  <si>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</si>
  <si>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</si>
  <si>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</si>
  <si>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</si>
  <si>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</si>
  <si>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</si>
  <si>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</si>
  <si>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</si>
  <si>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</si>
  <si>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</si>
  <si>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</si>
  <si>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</si>
  <si>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</si>
  <si>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</si>
  <si>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</si>
  <si>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</si>
  <si>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</si>
  <si>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</si>
  <si>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</si>
  <si>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</si>
  <si>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</si>
  <si>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</si>
  <si>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</si>
  <si>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</si>
  <si>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</si>
  <si>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</si>
  <si>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</si>
  <si>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</si>
  <si>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</si>
  <si>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</si>
  <si>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</si>
  <si>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</si>
  <si>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</si>
  <si>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</si>
  <si>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</si>
  <si>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</si>
  <si>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</si>
  <si>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</si>
  <si>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</si>
  <si>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</si>
  <si>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</si>
  <si>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</si>
  <si>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</si>
  <si>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</si>
  <si>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</si>
  <si>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</si>
  <si>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</si>
  <si>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</si>
  <si>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</si>
  <si>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</si>
  <si>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</si>
  <si>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</si>
  <si>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</si>
  <si>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</si>
  <si>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</si>
  <si>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</si>
  <si>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</si>
  <si>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</si>
  <si>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</si>
  <si>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</si>
  <si>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</si>
  <si>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</si>
  <si>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</si>
  <si>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</si>
  <si>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</si>
  <si>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</si>
  <si>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</si>
  <si>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</si>
  <si>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</si>
  <si>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</si>
  <si>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</si>
  <si>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</si>
  <si>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</si>
  <si>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</si>
  <si>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</si>
  <si>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</si>
  <si>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</si>
  <si>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</si>
  <si>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</si>
  <si>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</si>
  <si>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</si>
  <si>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</si>
  <si>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</si>
  <si>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</si>
  <si>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</si>
  <si>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</si>
  <si>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</si>
  <si>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</si>
  <si>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</si>
  <si>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</si>
  <si>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</si>
  <si>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</si>
  <si>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</si>
  <si>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</si>
  <si>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</si>
  <si>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</si>
  <si>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</si>
  <si>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</si>
  <si>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</si>
  <si>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</si>
  <si>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</si>
  <si>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</si>
  <si>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</si>
  <si>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</si>
  <si>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</si>
  <si>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</si>
  <si>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</si>
  <si>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</si>
  <si>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</si>
  <si>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</si>
  <si>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</si>
  <si>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</si>
  <si>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</si>
  <si>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</si>
  <si>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</si>
  <si>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</si>
  <si>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</si>
  <si>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</si>
  <si>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</si>
  <si>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</si>
  <si>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</si>
  <si>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</si>
  <si>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</si>
  <si>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</si>
  <si>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</si>
  <si>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</si>
  <si>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</si>
  <si>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</si>
  <si>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</si>
  <si>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</si>
  <si>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</si>
  <si>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</si>
  <si>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</si>
  <si>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</si>
  <si>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</si>
  <si>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</si>
  <si>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</si>
  <si>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</si>
  <si>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</si>
  <si>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</si>
  <si>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</si>
  <si>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</si>
  <si>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</si>
  <si>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</si>
  <si>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</si>
  <si>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</si>
  <si>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</si>
  <si>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</si>
  <si>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</si>
  <si>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</si>
  <si>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</si>
  <si>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</si>
  <si>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</si>
  <si>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</si>
  <si>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</si>
  <si>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</si>
  <si>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</si>
  <si>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</si>
  <si>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</si>
  <si>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</si>
  <si>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</si>
  <si>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</si>
  <si>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</si>
  <si>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</si>
  <si>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</si>
  <si>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</si>
  <si>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</si>
  <si>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</si>
  <si>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</si>
  <si>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</si>
  <si>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</si>
  <si>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</si>
  <si>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</si>
  <si>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</si>
  <si>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</si>
  <si>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</si>
  <si>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</si>
  <si>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</si>
  <si>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</si>
  <si>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</si>
  <si>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</si>
  <si>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</si>
  <si>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</si>
  <si>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</si>
  <si>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</si>
  <si>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</si>
  <si>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</si>
  <si>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</si>
  <si>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</si>
  <si>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</si>
  <si>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</si>
  <si>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</si>
  <si>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</si>
  <si>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</si>
  <si>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</si>
  <si>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</si>
  <si>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</si>
  <si>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</si>
  <si>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</si>
  <si>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</si>
  <si>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</si>
  <si>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</si>
  <si>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</si>
  <si>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</si>
  <si>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</si>
  <si>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</si>
  <si>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</si>
  <si>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</si>
  <si>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</si>
  <si>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</si>
  <si>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</si>
  <si>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</si>
  <si>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</si>
  <si>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</si>
  <si>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</si>
  <si>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</si>
  <si>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</si>
  <si>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</si>
  <si>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</si>
  <si>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</si>
  <si>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</si>
  <si>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</si>
  <si>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</si>
  <si>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</si>
  <si>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</si>
  <si>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</si>
  <si>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</si>
  <si>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</si>
  <si>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</si>
  <si>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</si>
  <si>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</si>
  <si>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</si>
  <si>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</si>
  <si>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</si>
  <si>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</si>
  <si>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</si>
  <si>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</si>
  <si>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</si>
  <si>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</si>
  <si>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</si>
  <si>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</si>
  <si>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</si>
  <si>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</si>
  <si>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</si>
  <si>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</si>
  <si>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</si>
  <si>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</si>
  <si>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</si>
  <si>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</si>
  <si>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</si>
  <si>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</si>
  <si>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</si>
  <si>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</si>
  <si>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</si>
  <si>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</si>
  <si>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</si>
  <si>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</si>
  <si>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</si>
  <si>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</si>
  <si>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</si>
  <si>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</si>
  <si>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</si>
  <si>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</si>
  <si>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</si>
  <si>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</si>
  <si>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</si>
  <si>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</si>
  <si>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</si>
  <si>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</si>
  <si>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</si>
  <si>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</si>
  <si>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</si>
  <si>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</si>
  <si>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</si>
  <si>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</si>
  <si>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</si>
  <si>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</si>
  <si>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</si>
  <si>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</si>
  <si>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</si>
  <si>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</si>
  <si>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</si>
  <si>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</si>
  <si>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</si>
  <si>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</si>
  <si>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</si>
  <si>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</si>
  <si>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</si>
  <si>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</si>
  <si>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</si>
  <si>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</si>
  <si>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</si>
  <si>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</si>
  <si>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</si>
  <si>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</si>
  <si>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</si>
  <si>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</si>
  <si>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</si>
  <si>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</si>
  <si>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</si>
  <si>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</si>
  <si>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</si>
  <si>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</si>
  <si>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</si>
  <si>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</si>
  <si>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</si>
  <si>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</si>
  <si>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</si>
  <si>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</si>
  <si>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</si>
  <si>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</si>
  <si>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</si>
  <si>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</si>
  <si>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</si>
  <si>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</si>
  <si>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</si>
  <si>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</si>
  <si>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</si>
  <si>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</si>
  <si>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</si>
  <si>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</si>
  <si>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</si>
  <si>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</si>
  <si>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</si>
  <si>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</si>
  <si>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</si>
  <si>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</si>
  <si>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</si>
  <si>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</si>
  <si>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</si>
  <si>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</si>
  <si>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</si>
  <si>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</si>
  <si>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</si>
  <si>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</si>
  <si>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</si>
  <si>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</si>
  <si>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</si>
  <si>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</si>
  <si>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</si>
  <si>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</si>
  <si>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</si>
  <si>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</si>
  <si>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</si>
  <si>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</si>
  <si>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</si>
  <si>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</si>
  <si>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</si>
  <si>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</si>
  <si>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</si>
  <si>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</si>
  <si>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</si>
  <si>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</si>
  <si>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</si>
  <si>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</si>
  <si>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</si>
  <si>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</si>
  <si>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</si>
  <si>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</si>
  <si>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</si>
  <si>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</si>
  <si>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</si>
  <si>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</si>
  <si>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</si>
  <si>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</si>
  <si>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</si>
  <si>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</si>
  <si>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</si>
  <si>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</si>
  <si>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</si>
  <si>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</si>
  <si>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</si>
  <si>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</si>
  <si>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</si>
  <si>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</si>
  <si>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</si>
  <si>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</si>
  <si>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</si>
  <si>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</si>
  <si>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</si>
  <si>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</si>
  <si>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</si>
  <si>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</si>
  <si>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</si>
  <si>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</si>
  <si>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</si>
  <si>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</si>
  <si>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</si>
  <si>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</si>
  <si>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</si>
  <si>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</si>
  <si>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</si>
  <si>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</si>
  <si>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</si>
  <si>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</si>
  <si>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</si>
  <si>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</si>
  <si>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</si>
  <si>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</si>
  <si>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</si>
  <si>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</si>
  <si>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</si>
  <si>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</si>
  <si>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</si>
  <si>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</si>
  <si>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</si>
  <si>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</si>
  <si>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</si>
  <si>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</si>
  <si>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</si>
  <si>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</si>
  <si>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</si>
  <si>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</si>
  <si>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</si>
  <si>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</si>
  <si>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</si>
  <si>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</si>
  <si>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</si>
  <si>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</si>
  <si>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</si>
  <si>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</si>
  <si>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</si>
  <si>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</si>
  <si>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</si>
  <si>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</si>
  <si>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</si>
  <si>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</si>
  <si>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</si>
  <si>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</si>
  <si>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</si>
  <si>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</si>
  <si>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</si>
  <si>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</si>
  <si>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</si>
  <si>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</si>
  <si>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</si>
  <si>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</si>
  <si>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</si>
  <si>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</si>
  <si>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</si>
  <si>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</si>
  <si>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</si>
  <si>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</si>
  <si>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</si>
  <si>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</si>
  <si>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</si>
  <si>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</si>
  <si>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</si>
  <si>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</si>
  <si>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</si>
  <si>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</si>
  <si>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</si>
  <si>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</si>
  <si>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</si>
  <si>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</si>
  <si>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</si>
  <si>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</si>
  <si>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</si>
  <si>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</si>
  <si>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</si>
  <si>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</si>
  <si>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</si>
  <si>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</si>
  <si>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</si>
  <si>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</si>
  <si>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</si>
  <si>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</si>
  <si>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</si>
  <si>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</si>
  <si>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</si>
  <si>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</si>
  <si>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</si>
  <si>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</si>
  <si>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</si>
  <si>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</si>
  <si>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</si>
  <si>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</si>
  <si>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</si>
  <si>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</si>
  <si>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</si>
  <si>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</si>
  <si>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</si>
  <si>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</si>
  <si>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</si>
  <si>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</si>
  <si>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</si>
  <si>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</si>
  <si>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</si>
  <si>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</si>
  <si>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</si>
  <si>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</si>
  <si>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</si>
  <si>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</si>
  <si>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</si>
  <si>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</si>
  <si>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</si>
  <si>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</si>
  <si>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</si>
  <si>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</si>
  <si>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</si>
  <si>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</si>
  <si>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</si>
  <si>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</si>
  <si>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</si>
  <si>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</si>
  <si>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</si>
  <si>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</si>
  <si>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</si>
  <si>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</si>
  <si>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</si>
  <si>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</si>
  <si>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</si>
  <si>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</si>
  <si>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</si>
  <si>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</si>
  <si>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</si>
  <si>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</si>
  <si>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</si>
  <si>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</si>
  <si>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</si>
  <si>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</si>
  <si>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</si>
  <si>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</si>
  <si>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</si>
  <si>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</si>
  <si>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</si>
  <si>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</si>
  <si>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</si>
  <si>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</si>
  <si>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</si>
  <si>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</si>
  <si>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</si>
  <si>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</si>
  <si>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</si>
  <si>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</si>
  <si>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</si>
  <si>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</si>
  <si>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</si>
  <si>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</si>
  <si>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</si>
  <si>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</si>
  <si>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</si>
  <si>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</si>
  <si>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</si>
  <si>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</si>
  <si>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</si>
  <si>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</si>
  <si>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</si>
  <si>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</si>
  <si>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</si>
  <si>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</si>
  <si>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</si>
  <si>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</si>
  <si>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</si>
  <si>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</si>
  <si>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</si>
  <si>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</si>
  <si>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</si>
  <si>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</si>
  <si>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</si>
  <si>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</si>
  <si>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</si>
  <si>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</si>
  <si>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</si>
  <si>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</si>
  <si>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</si>
  <si>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</si>
  <si>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</si>
  <si>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</si>
  <si>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</si>
  <si>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</si>
  <si>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</si>
  <si>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</si>
  <si>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</si>
  <si>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</si>
  <si>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</si>
  <si>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</si>
  <si>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</si>
  <si>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</si>
  <si>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</si>
  <si>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</si>
  <si>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</si>
  <si>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</si>
  <si>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</si>
  <si>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</si>
  <si>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</si>
  <si>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</si>
  <si>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</si>
  <si>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</si>
  <si>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</si>
  <si>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</si>
  <si>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</si>
  <si>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</si>
  <si>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</si>
  <si>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</si>
  <si>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</si>
  <si>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</si>
  <si>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</si>
  <si>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</si>
  <si>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</si>
  <si>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</si>
  <si>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</si>
  <si>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</si>
  <si>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</si>
  <si>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</si>
  <si>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</si>
  <si>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</si>
  <si>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</si>
  <si>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</si>
  <si>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</si>
  <si>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</si>
  <si>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</si>
  <si>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</si>
  <si>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</si>
  <si>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</si>
  <si>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</si>
  <si>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</si>
  <si>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</si>
  <si>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</si>
  <si>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</si>
  <si>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</si>
  <si>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</si>
  <si>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</si>
  <si>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</si>
  <si>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</si>
  <si>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</si>
  <si>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</si>
  <si>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</si>
  <si>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</si>
  <si>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</si>
  <si>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</si>
  <si>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</si>
  <si>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</si>
  <si>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</si>
  <si>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</si>
  <si>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</si>
  <si>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</si>
  <si>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</si>
  <si>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</si>
  <si>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</si>
  <si>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</si>
  <si>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</si>
  <si>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</si>
  <si>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</si>
  <si>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</si>
  <si>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</si>
  <si>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</si>
  <si>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</si>
  <si>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</si>
  <si>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</si>
  <si>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</si>
  <si>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</si>
  <si>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</si>
  <si>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</si>
  <si>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</si>
  <si>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</si>
  <si>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</si>
  <si>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</si>
  <si>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</si>
  <si>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</si>
  <si>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</si>
  <si>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</si>
  <si>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</si>
  <si>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</si>
  <si>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</si>
  <si>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</si>
  <si>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</si>
  <si>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</si>
  <si>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</si>
  <si>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</si>
  <si>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</si>
  <si>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</si>
  <si>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</si>
  <si>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</si>
  <si>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</si>
  <si>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</si>
  <si>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</si>
  <si>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</si>
  <si>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</si>
  <si>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</si>
  <si>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</si>
  <si>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</si>
  <si>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</si>
  <si>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</si>
  <si>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</si>
  <si>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</si>
  <si>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</si>
  <si>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</si>
  <si>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</si>
  <si>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</si>
  <si>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</si>
  <si>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</si>
  <si>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</si>
  <si>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</si>
  <si>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</si>
  <si>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</si>
  <si>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</si>
  <si>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</si>
  <si>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</si>
  <si>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</si>
  <si>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</si>
  <si>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</si>
  <si>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</si>
  <si>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</si>
  <si>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</si>
  <si>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</si>
  <si>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</si>
  <si>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</si>
  <si>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</si>
  <si>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</si>
  <si>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</si>
  <si>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</si>
  <si>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</si>
  <si>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</si>
  <si>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</si>
  <si>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</si>
  <si>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</si>
  <si>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</si>
  <si>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</si>
  <si>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</si>
  <si>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</si>
  <si>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</si>
  <si>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</si>
  <si>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</si>
  <si>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</si>
  <si>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</si>
  <si>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</si>
  <si>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</si>
  <si>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</si>
  <si>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</si>
  <si>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</si>
  <si>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</si>
  <si>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</si>
  <si>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</si>
  <si>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</si>
  <si>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</si>
  <si>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</si>
  <si>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</si>
  <si>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</si>
  <si>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</si>
  <si>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</si>
  <si>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</si>
  <si>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</si>
  <si>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</si>
  <si>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</si>
  <si>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</si>
  <si>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</si>
  <si>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</si>
  <si>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</si>
  <si>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</si>
  <si>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</si>
  <si>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</si>
  <si>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</si>
  <si>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</si>
  <si>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</si>
  <si>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</si>
  <si>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</si>
  <si>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</si>
  <si>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</si>
  <si>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</si>
  <si>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</si>
  <si>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</si>
  <si>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</si>
  <si>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</si>
  <si>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</si>
  <si>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</si>
  <si>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</si>
  <si>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</si>
  <si>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</si>
  <si>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</si>
  <si>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</si>
  <si>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</si>
  <si>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</si>
  <si>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</si>
  <si>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</si>
  <si>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</si>
  <si>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</si>
  <si>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</si>
  <si>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</si>
  <si>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</si>
  <si>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</si>
  <si>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</si>
  <si>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</si>
  <si>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</si>
  <si>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</si>
  <si>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</si>
  <si>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</si>
  <si>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</si>
  <si>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</si>
  <si>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</si>
  <si>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</si>
  <si>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</si>
  <si>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</si>
  <si>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</si>
  <si>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</si>
  <si>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</si>
  <si>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</si>
  <si>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</si>
  <si>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</si>
  <si>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</si>
  <si>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</si>
  <si>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</si>
  <si>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</si>
  <si>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</si>
  <si>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</si>
  <si>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</si>
  <si>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</si>
  <si>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</si>
  <si>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</si>
  <si>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</si>
  <si>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</si>
  <si>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</si>
  <si>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</si>
  <si>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</si>
  <si>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</si>
  <si>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</si>
  <si>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</si>
  <si>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</si>
  <si>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</si>
  <si>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</si>
  <si>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</si>
  <si>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</si>
  <si>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</si>
  <si>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</si>
  <si>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</si>
  <si>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</si>
  <si>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</si>
  <si>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</si>
  <si>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</si>
  <si>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</si>
  <si>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</si>
  <si>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</si>
  <si>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</si>
  <si>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</si>
  <si>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</si>
  <si>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</si>
  <si>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</si>
  <si>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</si>
  <si>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</si>
  <si>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</si>
  <si>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</si>
  <si>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</si>
  <si>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</si>
  <si>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</si>
  <si>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</si>
  <si>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</si>
  <si>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</si>
  <si>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</si>
  <si>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</si>
  <si>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</si>
  <si>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</si>
  <si>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</si>
  <si>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</si>
  <si>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</si>
  <si>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</si>
  <si>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</si>
  <si>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</si>
  <si>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</si>
  <si>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</si>
  <si>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</si>
  <si>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</si>
  <si>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</si>
  <si>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</si>
  <si>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</si>
  <si>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</si>
  <si>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</si>
  <si>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</si>
  <si>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</si>
  <si>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</si>
  <si>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</si>
  <si>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</si>
  <si>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</si>
  <si>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</si>
  <si>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</si>
  <si>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</si>
  <si>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</si>
  <si>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</si>
  <si>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</si>
  <si>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</si>
  <si>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</si>
  <si>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</si>
  <si>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</si>
  <si>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</si>
  <si>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</si>
  <si>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</si>
  <si>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</si>
  <si>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</si>
  <si>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</si>
  <si>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</si>
  <si>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</si>
  <si>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</si>
  <si>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</si>
  <si>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</si>
  <si>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</si>
  <si>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</si>
  <si>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</si>
  <si>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</si>
  <si>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</si>
  <si>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</si>
  <si>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</si>
  <si>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</si>
  <si>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</si>
  <si>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</si>
  <si>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</si>
  <si>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</si>
  <si>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</si>
  <si>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</si>
  <si>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</si>
  <si>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</si>
  <si>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</si>
  <si>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</si>
  <si>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</si>
  <si>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</si>
  <si>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</si>
  <si>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</si>
  <si>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</si>
  <si>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</si>
  <si>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</si>
  <si>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</si>
  <si>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</si>
  <si>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</si>
  <si>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</si>
  <si>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</si>
  <si>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</si>
  <si>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</si>
  <si>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</si>
  <si>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</si>
  <si>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</si>
  <si>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</si>
  <si>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</si>
  <si>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</si>
  <si>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</si>
  <si>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</si>
  <si>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</si>
  <si>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</si>
  <si>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</si>
  <si>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</si>
  <si>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</si>
  <si>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</si>
  <si>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</si>
  <si>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</si>
  <si>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</si>
  <si>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</si>
  <si>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</si>
  <si>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</si>
  <si>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</si>
  <si>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</si>
  <si>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</si>
  <si>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</si>
  <si>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</si>
  <si>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</si>
  <si>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</si>
  <si>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</si>
  <si>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</si>
  <si>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</si>
  <si>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</si>
  <si>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</si>
  <si>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</si>
  <si>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</si>
  <si>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</si>
  <si>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</si>
  <si>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</si>
  <si>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</si>
  <si>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</si>
  <si>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</si>
  <si>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</si>
  <si>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</si>
  <si>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</si>
  <si>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</si>
  <si>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</si>
  <si>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</si>
  <si>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</si>
  <si>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</si>
  <si>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</si>
  <si>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</si>
  <si>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</si>
  <si>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</si>
  <si>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</si>
  <si>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</si>
  <si>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</si>
  <si>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</si>
  <si>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</si>
  <si>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</si>
  <si>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</si>
  <si>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</si>
  <si>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</si>
  <si>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</si>
  <si>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</si>
  <si>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</si>
  <si>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</si>
  <si>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</si>
  <si>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</si>
  <si>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</si>
  <si>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</si>
  <si>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</si>
  <si>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</si>
  <si>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</si>
  <si>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</si>
  <si>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</si>
  <si>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</si>
  <si>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</si>
  <si>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</si>
  <si>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</si>
  <si>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</si>
  <si>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</si>
  <si>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</si>
  <si>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</si>
  <si>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</si>
  <si>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</si>
  <si>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</si>
  <si>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</si>
  <si>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</si>
  <si>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</si>
  <si>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</si>
  <si>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</si>
  <si>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</si>
  <si>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</si>
  <si>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</si>
  <si>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</si>
  <si>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</si>
  <si>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</si>
  <si>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</si>
  <si>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</si>
  <si>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</si>
  <si>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</si>
  <si>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</si>
  <si>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</si>
  <si>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</si>
  <si>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</si>
  <si>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</si>
  <si>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</si>
  <si>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</si>
  <si>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</si>
  <si>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</si>
  <si>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</si>
  <si>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</si>
  <si>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</si>
  <si>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</si>
  <si>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</si>
  <si>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</si>
  <si>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</si>
  <si>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</si>
  <si>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</si>
  <si>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</si>
  <si>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</si>
  <si>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</si>
  <si>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</si>
  <si>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</si>
  <si>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</si>
  <si>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</si>
  <si>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</si>
  <si>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</si>
  <si>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</si>
  <si>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</si>
  <si>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</si>
  <si>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</si>
  <si>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</si>
  <si>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</si>
  <si>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</si>
  <si>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</si>
  <si>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</si>
  <si>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</si>
  <si>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</si>
  <si>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</si>
  <si>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</si>
  <si>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</si>
  <si>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</si>
  <si>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</si>
  <si>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</si>
  <si>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</si>
  <si>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</si>
  <si>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</si>
  <si>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</si>
  <si>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</si>
  <si>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</si>
  <si>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</si>
  <si>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</si>
  <si>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</si>
  <si>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</si>
  <si>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</si>
  <si>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</si>
  <si>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</si>
  <si>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</si>
  <si>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</si>
  <si>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</si>
  <si>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</si>
  <si>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</si>
  <si>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</si>
  <si>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</si>
  <si>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</si>
  <si>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</si>
  <si>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</si>
  <si>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</si>
  <si>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</si>
  <si>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</si>
  <si>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</si>
  <si>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</si>
  <si>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</si>
  <si>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</si>
  <si>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</si>
  <si>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</si>
  <si>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</si>
  <si>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</si>
  <si>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</si>
  <si>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</si>
  <si>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</si>
  <si>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</si>
  <si>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</si>
  <si>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</si>
  <si>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</si>
  <si>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</si>
  <si>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</si>
  <si>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</si>
  <si>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</si>
  <si>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</si>
  <si>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</si>
  <si>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</si>
  <si>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</si>
  <si>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</si>
  <si>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</si>
  <si>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</si>
  <si>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</si>
  <si>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</si>
  <si>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</si>
  <si>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</si>
  <si>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</si>
  <si>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</si>
  <si>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</si>
  <si>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</si>
  <si>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</si>
  <si>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</si>
  <si>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</si>
  <si>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</si>
  <si>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</si>
  <si>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</si>
  <si>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</si>
  <si>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</si>
  <si>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</si>
  <si>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</si>
  <si>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</si>
  <si>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</si>
  <si>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</si>
  <si>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</si>
  <si>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</si>
  <si>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</si>
  <si>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</si>
  <si>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</si>
  <si>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</si>
  <si>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</si>
  <si>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</si>
  <si>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</si>
  <si>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</si>
  <si>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</si>
  <si>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</si>
  <si>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</si>
  <si>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</si>
  <si>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</si>
  <si>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</si>
  <si>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</si>
  <si>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</si>
  <si>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</si>
  <si>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</si>
  <si>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</si>
  <si>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</si>
  <si>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</si>
  <si>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</si>
  <si>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</si>
  <si>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</si>
  <si>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</si>
  <si>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</si>
  <si>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</si>
  <si>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</si>
  <si>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</si>
  <si>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</si>
  <si>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</si>
  <si>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</si>
  <si>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</si>
  <si>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</si>
  <si>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</si>
  <si>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</si>
  <si>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</si>
  <si>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</si>
  <si>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</si>
  <si>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</si>
  <si>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</si>
  <si>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</si>
  <si>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</si>
  <si>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</si>
  <si>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</si>
  <si>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</si>
  <si>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</si>
  <si>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</si>
  <si>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</si>
  <si>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</si>
  <si>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</si>
  <si>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</si>
  <si>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</si>
  <si>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</si>
  <si>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</si>
  <si>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</si>
  <si>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</si>
  <si>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</si>
  <si>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</si>
  <si>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</si>
  <si>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</si>
  <si>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</si>
  <si>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</si>
  <si>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</si>
  <si>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</si>
  <si>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</si>
  <si>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</si>
  <si>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</si>
  <si>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</si>
  <si>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</si>
  <si>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</si>
  <si>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</si>
  <si>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</si>
  <si>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</si>
  <si>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</si>
  <si>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</si>
  <si>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</si>
  <si>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</si>
  <si>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</si>
  <si>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</si>
  <si>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</si>
  <si>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</si>
  <si>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</si>
  <si>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</si>
  <si>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</si>
  <si>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</si>
  <si>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</si>
  <si>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</si>
  <si>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</si>
  <si>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</si>
  <si>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</si>
  <si>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</si>
  <si>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</si>
  <si>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</si>
  <si>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</si>
  <si>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</si>
  <si>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</si>
  <si>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</si>
  <si>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</si>
  <si>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</si>
  <si>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</si>
  <si>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</si>
  <si>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</si>
  <si>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</si>
  <si>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</si>
  <si>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</si>
  <si>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</si>
  <si>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</si>
  <si>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</si>
  <si>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</si>
  <si>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</si>
  <si>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</si>
  <si>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</si>
  <si>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</si>
  <si>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</si>
  <si>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</si>
  <si>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</si>
  <si>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</si>
  <si>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</si>
  <si>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</si>
  <si>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</si>
  <si>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</si>
  <si>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</si>
  <si>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</si>
  <si>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</si>
  <si>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</si>
  <si>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</si>
  <si>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</si>
  <si>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</si>
  <si>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</si>
  <si>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</si>
  <si>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</si>
  <si>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</si>
  <si>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</si>
  <si>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</si>
  <si>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</si>
  <si>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</si>
  <si>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</si>
  <si>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</si>
  <si>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</si>
  <si>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</si>
  <si>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</si>
  <si>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</si>
  <si>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</si>
  <si>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</si>
  <si>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</si>
  <si>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</si>
  <si>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</si>
  <si>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</si>
  <si>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</si>
  <si>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</si>
  <si>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</si>
  <si>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</si>
  <si>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</si>
  <si>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</si>
  <si>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</si>
  <si>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</si>
  <si>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</si>
  <si>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</si>
  <si>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</si>
  <si>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</si>
  <si>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</si>
  <si>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</si>
  <si>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</si>
  <si>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</si>
  <si>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</si>
  <si>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</si>
  <si>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</si>
  <si>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</si>
  <si>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</si>
  <si>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</si>
  <si>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</si>
  <si>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</si>
  <si>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</si>
  <si>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</si>
  <si>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</si>
  <si>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</si>
  <si>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</si>
  <si>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</si>
  <si>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</si>
  <si>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</si>
  <si>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</si>
  <si>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</si>
  <si>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</si>
  <si>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</si>
  <si>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</si>
  <si>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</si>
  <si>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</si>
  <si>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</si>
  <si>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</si>
  <si>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</si>
  <si>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</si>
  <si>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</si>
  <si>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</si>
  <si>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</si>
  <si>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</si>
  <si>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</si>
  <si>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</si>
  <si>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</si>
  <si>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</si>
  <si>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</si>
  <si>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</si>
  <si>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</si>
  <si>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</si>
  <si>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</si>
  <si>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</si>
  <si>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</si>
  <si>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</si>
  <si>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</si>
  <si>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</si>
  <si>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</si>
  <si>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</si>
  <si>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</si>
  <si>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</si>
  <si>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</si>
  <si>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</si>
  <si>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</si>
  <si>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</si>
  <si>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</si>
  <si>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</si>
  <si>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</si>
  <si>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</si>
  <si>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</si>
  <si>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</si>
  <si>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</si>
  <si>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</si>
  <si>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</si>
  <si>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</si>
  <si>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</si>
  <si>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</si>
  <si>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</si>
  <si>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</si>
  <si>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</si>
  <si>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</si>
  <si>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</si>
  <si>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</si>
  <si>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</si>
  <si>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</si>
  <si>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</si>
  <si>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</si>
  <si>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</si>
  <si>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</si>
  <si>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</si>
  <si>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</si>
  <si>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</si>
  <si>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</si>
  <si>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</si>
  <si>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</si>
  <si>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</si>
  <si>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</si>
  <si>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</si>
  <si>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</si>
  <si>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</si>
  <si>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</si>
  <si>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</si>
  <si>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</si>
  <si>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</si>
  <si>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</si>
  <si>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</si>
  <si>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</si>
  <si>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</si>
  <si>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</si>
  <si>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</si>
  <si>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</si>
  <si>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</si>
  <si>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</si>
  <si>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</si>
  <si>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</si>
  <si>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</si>
  <si>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</si>
  <si>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</si>
  <si>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</si>
  <si>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</si>
  <si>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</si>
  <si>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</si>
  <si>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</si>
  <si>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</si>
  <si>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</si>
  <si>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</si>
  <si>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</si>
  <si>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</si>
  <si>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</si>
  <si>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</si>
  <si>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</si>
  <si>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</si>
  <si>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</si>
  <si>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</si>
  <si>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</si>
  <si>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</si>
  <si>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</si>
  <si>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</si>
  <si>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</si>
  <si>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</si>
  <si>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</si>
  <si>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</si>
  <si>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</si>
  <si>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</si>
  <si>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</si>
  <si>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</si>
  <si>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</si>
  <si>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</si>
  <si>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</si>
  <si>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</si>
  <si>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</si>
  <si>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</si>
  <si>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</si>
  <si>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</si>
  <si>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</si>
  <si>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</si>
  <si>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</si>
  <si>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</si>
  <si>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</si>
  <si>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</si>
  <si>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</si>
  <si>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</si>
  <si>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</si>
  <si>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</si>
  <si>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</si>
  <si>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</si>
  <si>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</si>
  <si>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</si>
  <si>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</si>
  <si>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</si>
  <si>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</si>
  <si>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</si>
  <si>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</si>
  <si>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</si>
  <si>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</si>
  <si>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</si>
  <si>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</si>
  <si>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</si>
  <si>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</si>
  <si>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</si>
  <si>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</si>
  <si>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</si>
  <si>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</si>
  <si>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</si>
  <si>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</si>
  <si>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</si>
  <si>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</si>
  <si>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</si>
  <si>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</si>
  <si>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</si>
  <si>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</si>
  <si>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</si>
  <si>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</si>
  <si>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</si>
  <si>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</si>
  <si>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</si>
  <si>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</si>
  <si>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</si>
  <si>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</si>
  <si>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</si>
  <si>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</si>
  <si>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</si>
  <si>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</si>
  <si>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</si>
  <si>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</si>
  <si>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</si>
  <si>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</si>
  <si>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</si>
  <si>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</si>
  <si>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</si>
  <si>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</si>
  <si>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</si>
  <si>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</si>
  <si>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</si>
  <si>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</si>
  <si>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</si>
  <si>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</si>
  <si>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</si>
  <si>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</si>
  <si>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</si>
  <si>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</si>
  <si>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</si>
  <si>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</si>
  <si>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</si>
  <si>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</si>
  <si>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</si>
  <si>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</si>
  <si>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</si>
  <si>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</si>
  <si>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</si>
  <si>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</si>
  <si>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</si>
  <si>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</si>
  <si>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</si>
  <si>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</si>
  <si>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</si>
  <si>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</si>
  <si>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</si>
  <si>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</si>
  <si>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</si>
  <si>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</si>
  <si>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</si>
  <si>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</si>
  <si>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</si>
  <si>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</si>
  <si>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</si>
  <si>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</si>
  <si>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</si>
  <si>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</si>
  <si>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</si>
  <si>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</si>
  <si>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</si>
  <si>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</si>
  <si>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</si>
  <si>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</si>
  <si>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</si>
  <si>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</si>
  <si>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</si>
  <si>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</si>
  <si>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</si>
  <si>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</si>
  <si>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</si>
  <si>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</si>
  <si>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</si>
  <si>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</si>
  <si>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</si>
  <si>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</si>
  <si>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</si>
  <si>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</si>
  <si>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</si>
  <si>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</si>
  <si>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</si>
  <si>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</si>
  <si>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</si>
  <si>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</si>
  <si>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</si>
  <si>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</si>
  <si>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</si>
  <si>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</si>
  <si>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</si>
  <si>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</si>
  <si>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</si>
  <si>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</si>
  <si>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</si>
  <si>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</si>
  <si>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</si>
  <si>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</si>
  <si>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</si>
  <si>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</si>
  <si>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</si>
  <si>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</si>
  <si>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</si>
  <si>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</si>
  <si>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</si>
  <si>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</si>
  <si>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</si>
  <si>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</si>
  <si>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</si>
  <si>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</si>
  <si>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</si>
  <si>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</si>
  <si>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</si>
  <si>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</si>
  <si>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</si>
  <si>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</si>
  <si>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</si>
  <si>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</si>
  <si>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</si>
  <si>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</si>
  <si>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</si>
  <si>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</si>
  <si>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</si>
  <si>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</si>
  <si>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</si>
  <si>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</si>
  <si>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</si>
  <si>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</si>
  <si>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</si>
  <si>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</si>
  <si>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</si>
  <si>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</si>
  <si>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</si>
  <si>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</si>
  <si>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</si>
  <si>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</si>
  <si>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</si>
  <si>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</si>
  <si>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</si>
  <si>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</si>
  <si>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</si>
  <si>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</si>
  <si>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</si>
  <si>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</si>
  <si>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</si>
  <si>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</si>
  <si>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</si>
  <si>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</si>
  <si>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</si>
  <si>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</si>
  <si>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</si>
  <si>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</si>
  <si>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</si>
  <si>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</si>
  <si>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</si>
  <si>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</si>
  <si>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</si>
  <si>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</si>
  <si>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</si>
  <si>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</si>
  <si>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</si>
  <si>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</si>
  <si>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</si>
  <si>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</si>
  <si>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</si>
  <si>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</si>
  <si>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</si>
  <si>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</si>
  <si>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</si>
  <si>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</si>
  <si>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</si>
  <si>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</si>
  <si>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</si>
  <si>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</si>
  <si>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</si>
  <si>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</si>
  <si>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</si>
  <si>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</si>
  <si>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</si>
  <si>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</si>
  <si>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</si>
  <si>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</si>
  <si>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</si>
  <si>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</si>
  <si>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</si>
  <si>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</si>
  <si>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</si>
  <si>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</si>
  <si>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</si>
  <si>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</si>
  <si>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</si>
  <si>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</si>
  <si>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</si>
  <si>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</si>
  <si>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</si>
  <si>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</si>
  <si>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</si>
  <si>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</si>
  <si>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</si>
  <si>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</si>
  <si>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</si>
  <si>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</si>
  <si>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</si>
  <si>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</si>
  <si>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</si>
  <si>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</si>
  <si>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</si>
  <si>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</si>
  <si>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</si>
  <si>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</si>
  <si>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</si>
  <si>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</si>
  <si>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</si>
  <si>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</si>
  <si>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</si>
  <si>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</si>
  <si>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</si>
  <si>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</si>
  <si>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</si>
  <si>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</si>
  <si>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</si>
  <si>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</si>
  <si>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</si>
  <si>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</si>
  <si>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</si>
  <si>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</si>
  <si>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</si>
  <si>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</si>
  <si>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</si>
  <si>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</si>
  <si>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</si>
  <si>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</si>
  <si>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</si>
  <si>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</si>
  <si>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</si>
  <si>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</si>
  <si>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</si>
  <si>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</si>
  <si>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</si>
  <si>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</si>
  <si>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</si>
  <si>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</si>
  <si>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</si>
  <si>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</si>
  <si>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</si>
  <si>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</si>
  <si>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</si>
  <si>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</si>
  <si>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</si>
  <si>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</si>
  <si>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</si>
  <si>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</si>
  <si>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</si>
  <si>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</si>
  <si>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</si>
  <si>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</si>
  <si>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</si>
  <si>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</si>
  <si>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</si>
  <si>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</si>
  <si>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</si>
  <si>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</si>
  <si>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</si>
  <si>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</si>
  <si>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</si>
  <si>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</si>
  <si>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</si>
  <si>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</si>
  <si>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</si>
  <si>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</si>
  <si>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</si>
  <si>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</si>
  <si>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</si>
  <si>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</si>
  <si>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</si>
  <si>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</si>
  <si>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</si>
  <si>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</si>
  <si>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</si>
  <si>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</si>
  <si>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</si>
  <si>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</si>
  <si>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</si>
  <si>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</si>
  <si>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</si>
  <si>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</si>
  <si>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</si>
  <si>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</si>
  <si>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</si>
  <si>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</si>
  <si>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</si>
  <si>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</si>
  <si>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</si>
  <si>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</si>
  <si>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</si>
  <si>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</si>
  <si>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</si>
  <si>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</si>
  <si>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</si>
  <si>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</si>
  <si>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</si>
  <si>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</si>
  <si>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</si>
  <si>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</si>
  <si>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</si>
  <si>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</si>
  <si>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</si>
  <si>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</si>
  <si>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</si>
  <si>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</si>
  <si>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</si>
  <si>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</si>
  <si>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</si>
  <si>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</si>
  <si>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</si>
  <si>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</si>
  <si>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</si>
  <si>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</si>
  <si>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</si>
  <si>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</si>
  <si>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</si>
  <si>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</si>
  <si>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</si>
  <si>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</si>
  <si>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</si>
  <si>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</si>
  <si>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</si>
  <si>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</si>
  <si>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</si>
  <si>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</si>
  <si>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</si>
  <si>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</si>
  <si>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</si>
  <si>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</si>
  <si>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</si>
  <si>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</si>
  <si>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</si>
  <si>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</si>
  <si>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</si>
  <si>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</si>
  <si>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</si>
  <si>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</si>
  <si>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</si>
  <si>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</si>
  <si>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</si>
  <si>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</si>
  <si>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</si>
  <si>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</si>
  <si>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</si>
  <si>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</si>
  <si>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</si>
  <si>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</si>
  <si>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</si>
  <si>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</si>
  <si>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</si>
  <si>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</si>
  <si>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</si>
  <si>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</si>
  <si>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</si>
  <si>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</si>
  <si>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</si>
  <si>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</si>
  <si>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</si>
  <si>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</si>
  <si>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</si>
  <si>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</si>
  <si>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</si>
  <si>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</si>
  <si>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</si>
  <si>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</si>
  <si>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</si>
  <si>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</si>
  <si>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</si>
  <si>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</si>
  <si>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</si>
  <si>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</si>
  <si>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</si>
  <si>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</si>
  <si>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</si>
  <si>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</si>
  <si>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</si>
  <si>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</si>
  <si>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</si>
  <si>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</si>
  <si>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</si>
  <si>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</si>
  <si>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</si>
  <si>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</si>
  <si>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</si>
  <si>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</si>
  <si>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</si>
  <si>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</si>
  <si>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</si>
  <si>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</si>
  <si>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</si>
  <si>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</si>
  <si>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</si>
  <si>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</si>
  <si>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</si>
  <si>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</si>
  <si>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</si>
  <si>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</si>
  <si>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</si>
  <si>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</si>
  <si>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</si>
  <si>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</si>
  <si>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</si>
  <si>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</si>
  <si>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</si>
  <si>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</si>
  <si>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</si>
  <si>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</si>
  <si>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</si>
  <si>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</si>
  <si>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</si>
  <si>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</si>
  <si>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</si>
  <si>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</si>
  <si>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</si>
  <si>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</si>
  <si>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</si>
  <si>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</si>
  <si>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</si>
  <si>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</si>
  <si>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</si>
  <si>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</si>
  <si>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</si>
  <si>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</si>
  <si>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</si>
  <si>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</si>
  <si>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</si>
  <si>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</si>
  <si>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</si>
  <si>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</si>
  <si>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</si>
  <si>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</si>
  <si>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</si>
  <si>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</si>
  <si>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</si>
  <si>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</si>
  <si>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</si>
  <si>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</si>
  <si>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</si>
  <si>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</si>
  <si>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</si>
  <si>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</si>
  <si>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</si>
  <si>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</si>
  <si>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</si>
  <si>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</si>
  <si>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</si>
  <si>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</si>
  <si>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</si>
  <si>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</si>
  <si>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</si>
  <si>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</si>
  <si>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</si>
  <si>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</si>
  <si>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</si>
  <si>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</si>
  <si>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</si>
  <si>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</si>
  <si>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</si>
  <si>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</si>
  <si>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</si>
  <si>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</si>
  <si>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</si>
  <si>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</si>
  <si>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</si>
  <si>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</si>
  <si>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</si>
  <si>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</si>
  <si>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</si>
  <si>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</si>
  <si>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</si>
  <si>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</si>
  <si>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</si>
  <si>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</si>
  <si>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</si>
  <si>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</si>
  <si>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</si>
  <si>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</si>
  <si>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</si>
  <si>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</si>
  <si>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</si>
  <si>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</si>
  <si>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</si>
  <si>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</si>
  <si>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</si>
  <si>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</si>
  <si>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</si>
  <si>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</si>
  <si>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</si>
  <si>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</si>
  <si>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</si>
  <si>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</si>
  <si>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</si>
  <si>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</si>
  <si>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</si>
  <si>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</si>
  <si>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</si>
  <si>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</si>
  <si>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</si>
  <si>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</si>
  <si>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</si>
  <si>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</si>
  <si>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</si>
  <si>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</si>
  <si>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</si>
  <si>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</si>
  <si>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</si>
  <si>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</si>
  <si>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</si>
  <si>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</si>
  <si>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</si>
  <si>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</si>
  <si>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</si>
  <si>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</si>
  <si>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</si>
  <si>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</si>
  <si>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</si>
  <si>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</si>
  <si>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</si>
  <si>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</si>
  <si>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</si>
  <si>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</si>
  <si>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</si>
  <si>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</si>
  <si>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</si>
  <si>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</si>
  <si>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</si>
  <si>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</si>
  <si>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</si>
  <si>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</si>
  <si>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</si>
  <si>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</si>
  <si>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</si>
  <si>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</si>
  <si>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</si>
  <si>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</si>
  <si>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</si>
  <si>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</si>
  <si>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</si>
  <si>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</si>
  <si>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</si>
  <si>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</si>
  <si>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</si>
  <si>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</si>
  <si>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</si>
  <si>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</si>
  <si>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</si>
  <si>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</si>
  <si>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</si>
  <si>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</si>
  <si>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</si>
  <si>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</si>
  <si>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</si>
  <si>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</si>
  <si>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</si>
  <si>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</si>
  <si>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</si>
  <si>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</si>
  <si>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</si>
  <si>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</si>
  <si>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</si>
  <si>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</si>
  <si>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</si>
  <si>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</si>
  <si>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</si>
  <si>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</si>
  <si>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</si>
  <si>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</si>
  <si>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</si>
  <si>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</si>
  <si>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</si>
  <si>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</si>
  <si>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</si>
  <si>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</si>
  <si>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</si>
  <si>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</si>
  <si>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</si>
  <si>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</si>
  <si>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</si>
  <si>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</si>
  <si>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</si>
  <si>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</si>
  <si>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</si>
  <si>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</si>
  <si>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</si>
  <si>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</si>
  <si>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</si>
  <si>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</si>
  <si>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</si>
  <si>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</si>
  <si>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</si>
  <si>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</si>
  <si>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</si>
  <si>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</si>
  <si>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</si>
  <si>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</si>
  <si>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</si>
  <si>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</si>
  <si>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</si>
  <si>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</si>
  <si>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</si>
  <si>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</si>
  <si>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</si>
  <si>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</si>
  <si>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</si>
  <si>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</si>
  <si>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</si>
  <si>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</si>
  <si>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</si>
  <si>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</si>
  <si>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</si>
  <si>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</si>
  <si>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</si>
  <si>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</si>
  <si>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</si>
  <si>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</si>
  <si>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</si>
  <si>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</si>
  <si>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</si>
  <si>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</si>
  <si>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</si>
  <si>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</si>
  <si>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</si>
  <si>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</si>
  <si>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</si>
  <si>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</si>
  <si>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</si>
  <si>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</si>
  <si>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</si>
  <si>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</si>
  <si>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</si>
  <si>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</si>
  <si>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</si>
  <si>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</si>
  <si>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</si>
  <si>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</si>
  <si>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</si>
  <si>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</si>
  <si>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</si>
  <si>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</si>
  <si>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</si>
  <si>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</si>
  <si>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</si>
  <si>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</si>
  <si>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</si>
  <si>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</si>
  <si>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</si>
  <si>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</si>
  <si>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</si>
  <si>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</si>
  <si>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</si>
  <si>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</si>
  <si>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</si>
  <si>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</si>
  <si>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</si>
  <si>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</si>
  <si>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</si>
  <si>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</si>
  <si>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</si>
  <si>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</si>
  <si>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</si>
  <si>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</si>
  <si>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</si>
  <si>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</si>
  <si>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</si>
  <si>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</si>
  <si>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</si>
  <si>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</si>
  <si>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</si>
  <si>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</si>
  <si>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</si>
  <si>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</si>
  <si>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</si>
  <si>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</si>
  <si>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</si>
  <si>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</si>
  <si>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</si>
  <si>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</si>
  <si>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</si>
  <si>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</si>
  <si>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</si>
  <si>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</si>
  <si>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</si>
  <si>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</si>
  <si>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</si>
  <si>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</si>
  <si>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</si>
  <si>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</si>
  <si>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</si>
  <si>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</si>
  <si>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</si>
  <si>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</si>
  <si>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</si>
  <si>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</si>
  <si>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</si>
  <si>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</si>
  <si>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</si>
  <si>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</si>
  <si>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</si>
  <si>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</si>
  <si>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</si>
  <si>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</si>
  <si>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</si>
  <si>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</si>
  <si>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</si>
  <si>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</si>
  <si>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</si>
  <si>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</si>
  <si>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</si>
  <si>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</si>
  <si>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</si>
  <si>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</si>
  <si>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</si>
  <si>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</si>
  <si>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</si>
  <si>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</si>
  <si>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</si>
  <si>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</si>
  <si>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</si>
  <si>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</si>
  <si>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</si>
  <si>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</si>
  <si>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</si>
  <si>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</si>
  <si>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</si>
  <si>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</si>
  <si>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</si>
  <si>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</si>
  <si>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</si>
  <si>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</si>
  <si>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</si>
  <si>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</si>
  <si>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</si>
  <si>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</si>
  <si>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</si>
  <si>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</si>
  <si>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</si>
  <si>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</si>
  <si>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</si>
  <si>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</si>
  <si>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</si>
  <si>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</si>
  <si>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</si>
  <si>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</si>
  <si>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</si>
  <si>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</si>
  <si>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</si>
  <si>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</si>
  <si>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</si>
  <si>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</si>
  <si>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</si>
  <si>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</si>
  <si>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</si>
  <si>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</si>
  <si>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</si>
  <si>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</si>
  <si>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</si>
  <si>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</si>
  <si>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</si>
  <si>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</si>
  <si>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</si>
  <si>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</si>
  <si>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</si>
  <si>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</si>
  <si>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</si>
  <si>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</si>
  <si>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</si>
  <si>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</si>
  <si>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</si>
  <si>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</si>
  <si>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</si>
  <si>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</si>
  <si>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</si>
  <si>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</si>
  <si>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</si>
  <si>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</si>
  <si>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</si>
  <si>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</si>
  <si>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</si>
  <si>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</si>
  <si>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</si>
  <si>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</si>
  <si>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</si>
  <si>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</si>
  <si>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</si>
  <si>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</si>
  <si>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</si>
  <si>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</si>
  <si>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</si>
  <si>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</si>
  <si>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</si>
  <si>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</si>
  <si>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</si>
  <si>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</si>
  <si>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</si>
  <si>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</si>
  <si>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</si>
  <si>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</si>
  <si>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</si>
  <si>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</si>
  <si>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</si>
  <si>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</si>
  <si>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</si>
  <si>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</si>
  <si>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</si>
  <si>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</si>
  <si>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</si>
  <si>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</si>
  <si>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</si>
  <si>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</si>
  <si>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</si>
  <si>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</si>
  <si>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</si>
  <si>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</si>
  <si>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</si>
  <si>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</si>
  <si>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</si>
  <si>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</si>
  <si>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</si>
  <si>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</si>
  <si>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</si>
  <si>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</si>
  <si>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</si>
  <si>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</si>
  <si>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</si>
  <si>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</si>
  <si>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</si>
  <si>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</si>
  <si>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</si>
  <si>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</si>
  <si>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</si>
  <si>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</si>
  <si>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</si>
  <si>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</si>
  <si>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</si>
  <si>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</si>
  <si>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</si>
  <si>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</si>
  <si>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</si>
  <si>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</si>
  <si>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</si>
  <si>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</si>
  <si>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</si>
  <si>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</si>
  <si>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</si>
  <si>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</si>
  <si>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</si>
  <si>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</si>
  <si>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</si>
  <si>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</si>
  <si>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</si>
  <si>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</si>
  <si>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</si>
  <si>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</si>
  <si>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</si>
  <si>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</si>
  <si>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</si>
  <si>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</si>
  <si>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</si>
  <si>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</si>
  <si>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</si>
  <si>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</si>
  <si>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</si>
  <si>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</si>
  <si>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</si>
  <si>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</si>
  <si>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</si>
  <si>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</si>
  <si>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</si>
  <si>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</si>
  <si>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</si>
  <si>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</si>
  <si>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</si>
  <si>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</si>
  <si>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</si>
  <si>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</si>
  <si>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</si>
  <si>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</si>
  <si>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</si>
  <si>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</si>
  <si>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</si>
  <si>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</si>
  <si>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</si>
  <si>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</si>
  <si>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</si>
  <si>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</si>
  <si>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</si>
  <si>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</si>
  <si>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</si>
  <si>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</si>
  <si>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</si>
  <si>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</si>
  <si>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</si>
  <si>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</si>
  <si>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</si>
  <si>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</si>
  <si>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</si>
  <si>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</si>
  <si>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</si>
  <si>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</si>
  <si>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</si>
  <si>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</si>
  <si>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</si>
  <si>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</si>
  <si>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</si>
  <si>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</si>
  <si>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</si>
  <si>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</si>
  <si>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</si>
  <si>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</si>
  <si>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</si>
  <si>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</si>
  <si>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</si>
  <si>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</si>
  <si>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</si>
  <si>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</si>
  <si>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</si>
  <si>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</si>
  <si>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</si>
  <si>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</si>
  <si>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</si>
  <si>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</si>
  <si>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</si>
  <si>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</si>
  <si>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</si>
  <si>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</si>
  <si>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</si>
  <si>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</si>
  <si>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</si>
  <si>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</si>
  <si>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</si>
  <si>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</si>
  <si>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</si>
  <si>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</si>
  <si>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</si>
  <si>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</si>
  <si>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</si>
  <si>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</si>
  <si>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</si>
  <si>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</si>
  <si>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</si>
  <si>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</si>
  <si>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</si>
  <si>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</si>
  <si>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</si>
  <si>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</si>
  <si>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</si>
  <si>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</si>
  <si>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</si>
  <si>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</si>
  <si>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</si>
  <si>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</si>
  <si>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</si>
  <si>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</si>
  <si>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</si>
  <si>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</si>
  <si>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</si>
  <si>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</si>
  <si>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</si>
  <si>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</si>
  <si>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</si>
  <si>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</si>
  <si>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</si>
  <si>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</si>
  <si>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</si>
  <si>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</si>
  <si>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</si>
  <si>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</si>
  <si>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</si>
  <si>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</si>
  <si>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</si>
  <si>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</si>
  <si>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</si>
  <si>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</si>
  <si>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</si>
  <si>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</si>
  <si>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</si>
  <si>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</si>
  <si>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</si>
  <si>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</si>
  <si>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</si>
  <si>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</si>
  <si>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</si>
  <si>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</si>
  <si>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</si>
  <si>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</si>
  <si>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</si>
  <si>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</si>
  <si>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</si>
  <si>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</si>
  <si>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</si>
  <si>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</si>
  <si>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</si>
  <si>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</si>
  <si>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</si>
  <si>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</si>
  <si>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</si>
  <si>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</si>
  <si>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</si>
  <si>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</si>
  <si>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</si>
  <si>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</si>
  <si>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</si>
  <si>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</si>
  <si>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</si>
  <si>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</si>
  <si>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</si>
  <si>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</si>
  <si>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</si>
  <si>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</si>
  <si>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</si>
  <si>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</si>
  <si>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</si>
  <si>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</si>
  <si>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</si>
  <si>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</si>
  <si>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</si>
  <si>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</si>
  <si>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</si>
  <si>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</si>
  <si>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</si>
  <si>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</si>
  <si>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</si>
  <si>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</si>
  <si>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</si>
  <si>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</si>
  <si>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</si>
  <si>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</si>
  <si>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</si>
  <si>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</si>
  <si>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</si>
  <si>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</si>
  <si>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</si>
  <si>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</si>
  <si>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</si>
  <si>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</si>
  <si>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</si>
  <si>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</si>
  <si>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</si>
  <si>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</si>
  <si>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</si>
  <si>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</si>
  <si>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</si>
  <si>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</si>
  <si>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</si>
  <si>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</si>
  <si>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</si>
  <si>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</si>
  <si>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</si>
  <si>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</si>
  <si>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</si>
  <si>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</si>
  <si>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</si>
  <si>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</si>
  <si>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</si>
  <si>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</si>
  <si>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</si>
  <si>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</si>
  <si>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</si>
  <si>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</si>
  <si>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</si>
  <si>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</si>
  <si>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</si>
  <si>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</si>
  <si>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</si>
  <si>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</si>
  <si>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</si>
  <si>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</si>
  <si>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</si>
  <si>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</si>
  <si>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</si>
  <si>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</si>
  <si>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</si>
  <si>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</si>
  <si>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</si>
  <si>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</si>
  <si>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</si>
  <si>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</si>
  <si>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</si>
  <si>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</si>
  <si>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</si>
  <si>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</si>
  <si>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</si>
  <si>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</si>
  <si>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</si>
  <si>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</si>
  <si>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</si>
  <si>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</si>
  <si>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</si>
  <si>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</si>
  <si>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</si>
  <si>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</si>
  <si>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</si>
  <si>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</si>
  <si>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</si>
  <si>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</si>
  <si>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</si>
  <si>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</si>
  <si>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</si>
  <si>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</si>
  <si>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</si>
  <si>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</si>
  <si>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</si>
  <si>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</si>
  <si>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</si>
  <si>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</si>
  <si>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</si>
  <si>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</si>
  <si>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</si>
  <si>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</si>
  <si>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</si>
  <si>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</si>
  <si>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</si>
  <si>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</si>
  <si>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</si>
  <si>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</si>
  <si>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</si>
  <si>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</si>
  <si>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</si>
  <si>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</si>
  <si>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</si>
  <si>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</si>
  <si>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</si>
  <si>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</si>
  <si>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</si>
  <si>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</si>
  <si>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</si>
  <si>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</si>
  <si>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</si>
  <si>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</si>
  <si>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</si>
  <si>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</si>
  <si>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</si>
  <si>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</si>
  <si>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</si>
  <si>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</si>
  <si>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</si>
  <si>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</si>
  <si>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</si>
  <si>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</si>
  <si>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</si>
  <si>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</si>
  <si>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</si>
  <si>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</si>
  <si>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</si>
  <si>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</si>
  <si>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</si>
  <si>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</si>
  <si>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</si>
  <si>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</si>
  <si>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</si>
  <si>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</si>
  <si>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</si>
  <si>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</si>
  <si>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</si>
  <si>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</si>
  <si>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</si>
  <si>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</si>
  <si>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</si>
  <si>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</si>
  <si>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</si>
  <si>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</si>
  <si>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</si>
  <si>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</si>
  <si>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</si>
  <si>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</si>
  <si>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</si>
  <si>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</si>
  <si>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</si>
  <si>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</si>
  <si>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</si>
  <si>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</si>
  <si>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</si>
  <si>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</si>
  <si>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</si>
  <si>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</si>
  <si>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</si>
  <si>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</si>
  <si>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</si>
  <si>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</si>
  <si>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</si>
  <si>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</si>
  <si>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</si>
  <si>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</si>
  <si>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</si>
  <si>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</si>
  <si>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</si>
  <si>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</si>
  <si>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</si>
  <si>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</si>
  <si>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</si>
  <si>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</si>
  <si>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</si>
  <si>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</si>
  <si>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</si>
  <si>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</si>
  <si>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</si>
  <si>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</si>
  <si>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</si>
  <si>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</si>
  <si>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</si>
  <si>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</si>
  <si>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</si>
  <si>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</si>
  <si>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</si>
  <si>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</si>
  <si>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</si>
  <si>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</si>
  <si>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</si>
  <si>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</si>
  <si>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</si>
  <si>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</si>
  <si>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</si>
  <si>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</si>
  <si>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</si>
  <si>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</si>
  <si>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</si>
  <si>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</si>
  <si>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</si>
  <si>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</si>
  <si>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</si>
  <si>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</si>
  <si>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</si>
  <si>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</si>
  <si>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</si>
  <si>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</si>
  <si>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</si>
  <si>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</si>
  <si>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</si>
  <si>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</si>
  <si>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</si>
  <si>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</si>
  <si>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</si>
  <si>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</si>
  <si>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</si>
  <si>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</si>
  <si>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</si>
  <si>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</si>
  <si>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</si>
  <si>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</si>
  <si>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</si>
  <si>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</si>
  <si>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</si>
  <si>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</si>
  <si>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</si>
  <si>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</si>
  <si>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</si>
  <si>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</si>
  <si>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</si>
  <si>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</si>
  <si>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</si>
  <si>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</si>
  <si>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</si>
  <si>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</si>
  <si>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</si>
  <si>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</si>
  <si>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</si>
  <si>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</si>
  <si>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</si>
  <si>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</si>
  <si>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</si>
  <si>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</si>
  <si>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</si>
  <si>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</si>
  <si>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</si>
  <si>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</si>
  <si>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</si>
  <si>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</si>
  <si>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</si>
  <si>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</si>
  <si>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</si>
  <si>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</si>
  <si>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</si>
  <si>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</si>
  <si>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</si>
  <si>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</si>
  <si>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</si>
  <si>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</si>
  <si>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</si>
  <si>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</si>
  <si>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</si>
  <si>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</si>
  <si>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</si>
  <si>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</si>
  <si>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</si>
  <si>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</si>
  <si>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</si>
  <si>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</si>
  <si>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</si>
  <si>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</si>
  <si>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</si>
  <si>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</si>
  <si>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</si>
  <si>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</si>
  <si>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</si>
  <si>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</si>
  <si>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</si>
  <si>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</si>
  <si>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</si>
  <si>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</si>
  <si>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</si>
  <si>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</si>
  <si>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</si>
  <si>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</si>
  <si>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</si>
  <si>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</si>
  <si>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</si>
  <si>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</si>
  <si>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</si>
  <si>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</si>
  <si>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</si>
  <si>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</si>
  <si>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</si>
  <si>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</si>
  <si>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</si>
  <si>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</si>
  <si>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</si>
  <si>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</si>
  <si>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</si>
  <si>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</si>
  <si>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</si>
  <si>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</si>
  <si>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</si>
  <si>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</si>
  <si>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</si>
  <si>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</si>
  <si>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</si>
  <si>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</si>
  <si>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</si>
  <si>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</si>
  <si>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</si>
  <si>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</si>
  <si>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</si>
  <si>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</si>
  <si>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</si>
  <si>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</si>
  <si>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</si>
  <si>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</si>
  <si>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</si>
  <si>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</si>
  <si>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</si>
  <si>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</si>
  <si>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</si>
  <si>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</si>
  <si>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</si>
  <si>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</si>
  <si>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</si>
  <si>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</si>
  <si>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</si>
  <si>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</si>
  <si>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</si>
  <si>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</si>
  <si>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</si>
  <si>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</si>
  <si>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</si>
  <si>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</si>
  <si>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</si>
  <si>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</si>
  <si>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</si>
  <si>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</si>
  <si>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</si>
  <si>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</si>
  <si>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</si>
  <si>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</si>
  <si>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</si>
  <si>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</si>
  <si>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</si>
  <si>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</si>
  <si>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</si>
  <si>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</si>
  <si>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</si>
  <si>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</si>
  <si>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</si>
  <si>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</si>
  <si>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</si>
  <si>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</si>
  <si>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</si>
  <si>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</si>
  <si>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</si>
  <si>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</si>
  <si>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</si>
  <si>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</si>
  <si>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</si>
  <si>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</si>
  <si>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</si>
  <si>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</si>
  <si>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</si>
  <si>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</si>
  <si>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</si>
  <si>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</si>
  <si>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</si>
  <si>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</si>
  <si>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</si>
  <si>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</si>
  <si>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</si>
  <si>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</si>
  <si>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</si>
  <si>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</si>
  <si>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</si>
  <si>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</si>
  <si>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</si>
  <si>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</si>
  <si>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</si>
  <si>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</si>
  <si>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</si>
  <si>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</si>
  <si>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</si>
  <si>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</si>
  <si>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</si>
  <si>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</si>
  <si>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</si>
  <si>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</si>
  <si>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</si>
  <si>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</si>
  <si>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</si>
  <si>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</si>
  <si>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</si>
  <si>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</si>
  <si>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</si>
  <si>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</si>
  <si>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</si>
  <si>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</si>
  <si>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</si>
  <si>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</si>
  <si>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</si>
  <si>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</si>
  <si>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</si>
  <si>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</si>
  <si>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</si>
  <si>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</si>
  <si>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</si>
  <si>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</si>
  <si>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</si>
  <si>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</si>
  <si>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</si>
  <si>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</si>
  <si>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</si>
  <si>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</si>
  <si>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</si>
  <si>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</si>
  <si>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</si>
  <si>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</si>
  <si>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</si>
  <si>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</si>
  <si>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</si>
  <si>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</si>
  <si>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</si>
  <si>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</si>
  <si>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</si>
  <si>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</si>
  <si>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</si>
  <si>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</si>
  <si>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</si>
  <si>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</si>
  <si>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</si>
  <si>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</si>
  <si>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</si>
  <si>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</si>
  <si>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</si>
  <si>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</si>
  <si>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</si>
  <si>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</si>
  <si>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</si>
  <si>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</si>
  <si>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</si>
  <si>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</si>
  <si>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</si>
  <si>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</si>
  <si>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</si>
  <si>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</si>
  <si>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</si>
  <si>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</si>
  <si>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</si>
  <si>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</si>
  <si>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</si>
  <si>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</si>
  <si>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</si>
  <si>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</si>
  <si>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</si>
  <si>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</si>
  <si>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</si>
  <si>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</si>
  <si>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</si>
  <si>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</si>
  <si>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</si>
  <si>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</si>
  <si>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</si>
  <si>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</si>
  <si>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</si>
  <si>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</si>
  <si>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</si>
  <si>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</si>
  <si>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</si>
  <si>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</si>
  <si>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</si>
  <si>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</si>
  <si>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</si>
  <si>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</si>
  <si>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</si>
  <si>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</si>
  <si>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</si>
  <si>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</si>
  <si>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</si>
  <si>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</si>
  <si>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</si>
  <si>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</si>
  <si>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</si>
  <si>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</si>
  <si>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</si>
  <si>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</si>
  <si>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</si>
  <si>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</si>
  <si>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</si>
  <si>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</si>
  <si>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</si>
  <si>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</si>
  <si>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</si>
  <si>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</si>
  <si>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</si>
  <si>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</si>
  <si>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</si>
  <si>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</si>
  <si>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</si>
  <si>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</si>
  <si>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</si>
  <si>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</si>
  <si>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</si>
  <si>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</si>
  <si>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</si>
  <si>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</si>
  <si>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</si>
  <si>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</si>
  <si>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</si>
  <si>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</si>
  <si>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</si>
  <si>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</si>
  <si>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</si>
  <si>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</si>
  <si>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</si>
  <si>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</si>
  <si>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</si>
  <si>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</si>
  <si>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</si>
  <si>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</si>
  <si>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</si>
  <si>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</si>
  <si>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</si>
  <si>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</si>
  <si>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</si>
  <si>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</si>
  <si>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</si>
  <si>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</si>
  <si>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</si>
  <si>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</si>
  <si>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</si>
  <si>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</si>
  <si>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</si>
  <si>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</si>
  <si>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</si>
  <si>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</si>
  <si>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</si>
  <si>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</si>
  <si>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</si>
  <si>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</si>
  <si>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</si>
  <si>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</si>
  <si>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</si>
  <si>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</si>
  <si>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</si>
  <si>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</si>
  <si>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</si>
  <si>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</si>
  <si>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</si>
  <si>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</si>
  <si>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</si>
  <si>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</si>
  <si>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</si>
  <si>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</si>
  <si>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</si>
  <si>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</si>
  <si>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</si>
  <si>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</si>
  <si>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</si>
  <si>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</si>
  <si>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</si>
  <si>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</si>
  <si>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</si>
  <si>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</si>
  <si>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</si>
  <si>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</si>
  <si>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</si>
  <si>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</si>
  <si>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</si>
  <si>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</si>
  <si>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</si>
  <si>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</si>
  <si>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</si>
  <si>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</si>
  <si>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</si>
  <si>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</si>
  <si>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</si>
  <si>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</si>
  <si>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</si>
  <si>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</si>
  <si>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</si>
  <si>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</si>
  <si>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</si>
  <si>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</si>
  <si>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</si>
  <si>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</si>
  <si>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</si>
  <si>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</si>
  <si>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</si>
  <si>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</si>
  <si>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</si>
  <si>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</si>
  <si>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</si>
  <si>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</si>
  <si>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</si>
  <si>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</si>
  <si>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</si>
  <si>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</si>
  <si>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</si>
  <si>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</si>
  <si>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</si>
  <si>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</si>
  <si>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</si>
  <si>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</si>
  <si>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</si>
  <si>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</si>
  <si>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</si>
  <si>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</si>
  <si>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</si>
  <si>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</si>
  <si>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</si>
  <si>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</si>
  <si>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</si>
  <si>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</si>
  <si>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</si>
  <si>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</si>
  <si>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</si>
  <si>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</si>
  <si>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</si>
  <si>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</si>
  <si>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</si>
  <si>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</si>
  <si>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</si>
  <si>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</si>
  <si>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</si>
  <si>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</si>
  <si>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</si>
  <si>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</si>
  <si>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</si>
  <si>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</si>
  <si>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</si>
  <si>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</si>
  <si>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</si>
  <si>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</si>
  <si>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</si>
  <si>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</si>
  <si>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</si>
  <si>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</si>
  <si>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</si>
  <si>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</si>
  <si>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</si>
  <si>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</si>
  <si>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</si>
  <si>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</si>
  <si>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</si>
  <si>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</si>
  <si>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</si>
  <si>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</si>
  <si>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</si>
  <si>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</si>
  <si>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</si>
  <si>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</si>
  <si>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</si>
  <si>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</si>
  <si>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</si>
  <si>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</si>
  <si>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</si>
  <si>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</si>
  <si>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</si>
  <si>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</si>
  <si>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</si>
  <si>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</si>
  <si>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</si>
  <si>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</si>
  <si>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</si>
  <si>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</si>
  <si>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</si>
  <si>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</si>
  <si>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</si>
  <si>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</si>
  <si>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</si>
  <si>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</si>
  <si>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</si>
  <si>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</si>
  <si>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</si>
  <si>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</si>
  <si>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</si>
  <si>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</si>
  <si>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</si>
  <si>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</si>
  <si>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</si>
  <si>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</si>
  <si>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</si>
  <si>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</si>
  <si>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</si>
  <si>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</si>
  <si>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</si>
  <si>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</si>
  <si>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</si>
  <si>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</si>
  <si>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</si>
  <si>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</si>
  <si>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</si>
  <si>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</si>
  <si>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</si>
  <si>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</si>
  <si>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</si>
  <si>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</si>
  <si>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</si>
  <si>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</si>
  <si>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</si>
  <si>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</si>
  <si>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</si>
  <si>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</si>
  <si>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</si>
  <si>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</si>
  <si>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</si>
  <si>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</si>
  <si>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</si>
  <si>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</si>
  <si>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</si>
  <si>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</si>
  <si>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</si>
  <si>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</si>
  <si>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</si>
  <si>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</si>
  <si>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</si>
  <si>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</si>
  <si>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</si>
  <si>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</si>
  <si>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</si>
  <si>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</si>
  <si>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</si>
  <si>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</si>
  <si>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</si>
  <si>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</si>
  <si>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</si>
  <si>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</si>
  <si>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</si>
  <si>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</si>
  <si>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</si>
  <si>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</si>
  <si>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</si>
  <si>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</si>
  <si>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</si>
  <si>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</si>
  <si>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</si>
  <si>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</si>
  <si>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</si>
  <si>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</si>
  <si>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</si>
  <si>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</si>
  <si>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</si>
  <si>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</si>
  <si>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</si>
  <si>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</si>
  <si>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</si>
  <si>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</si>
  <si>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</si>
  <si>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</si>
  <si>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</si>
  <si>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</si>
  <si>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</si>
  <si>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</si>
  <si>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</si>
  <si>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</si>
  <si>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</si>
  <si>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</si>
  <si>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</si>
  <si>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</si>
  <si>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</si>
  <si>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</si>
  <si>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</si>
  <si>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</si>
  <si>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</si>
  <si>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</si>
  <si>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</si>
  <si>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</si>
  <si>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</si>
  <si>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</si>
  <si>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</si>
  <si>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</si>
  <si>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</si>
  <si>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</si>
  <si>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</si>
  <si>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</si>
  <si>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</si>
  <si>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</si>
  <si>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</si>
  <si>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</si>
  <si>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</si>
  <si>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</si>
  <si>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</si>
  <si>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</si>
  <si>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</si>
  <si>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</si>
  <si>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</si>
  <si>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</si>
  <si>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</si>
  <si>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</si>
  <si>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</si>
  <si>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</si>
  <si>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</si>
  <si>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</si>
  <si>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</si>
  <si>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</si>
  <si>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</si>
  <si>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</si>
  <si>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</si>
  <si>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</si>
  <si>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</si>
  <si>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</si>
  <si>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</si>
  <si>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</si>
  <si>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</si>
  <si>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</si>
  <si>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</si>
  <si>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</si>
  <si>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</si>
  <si>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</si>
  <si>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</si>
  <si>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</si>
  <si>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</si>
  <si>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</si>
  <si>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</si>
  <si>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</si>
  <si>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</si>
  <si>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</si>
  <si>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</si>
  <si>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</si>
  <si>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</si>
  <si>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</si>
  <si>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</si>
  <si>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</si>
  <si>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</si>
  <si>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</si>
  <si>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</si>
  <si>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</si>
  <si>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</si>
  <si>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</si>
  <si>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</si>
  <si>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</si>
  <si>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</si>
  <si>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</si>
  <si>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</si>
  <si>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</si>
  <si>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</si>
  <si>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</si>
  <si>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</si>
  <si>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</si>
  <si>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</si>
  <si>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</si>
  <si>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</si>
  <si>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</si>
  <si>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</si>
  <si>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</si>
  <si>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</si>
  <si>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</si>
  <si>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</si>
  <si>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</si>
  <si>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</si>
  <si>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</si>
  <si>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</si>
  <si>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</si>
  <si>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</si>
  <si>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</si>
  <si>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</si>
  <si>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</si>
  <si>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</si>
  <si>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</si>
  <si>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</si>
  <si>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</si>
  <si>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</si>
  <si>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</si>
  <si>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</si>
  <si>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</si>
  <si>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</si>
  <si>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</si>
  <si>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</si>
  <si>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</si>
  <si>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</si>
  <si>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</si>
  <si>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</si>
  <si>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</si>
  <si>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</si>
  <si>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</si>
  <si>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</si>
  <si>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</si>
  <si>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</si>
  <si>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</si>
  <si>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</si>
  <si>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</si>
  <si>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</si>
  <si>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</si>
  <si>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</si>
  <si>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</si>
  <si>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</si>
  <si>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</si>
  <si>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</si>
  <si>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</si>
  <si>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</si>
  <si>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</si>
  <si>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</si>
  <si>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</si>
  <si>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</si>
  <si>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</si>
  <si>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</si>
  <si>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</si>
  <si>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</si>
  <si>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</si>
  <si>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</si>
  <si>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</si>
  <si>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</si>
  <si>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</si>
  <si>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</si>
  <si>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</si>
  <si>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</si>
  <si>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</si>
  <si>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</si>
  <si>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</si>
  <si>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</si>
  <si>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</si>
  <si>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</si>
  <si>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</si>
  <si>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</si>
  <si>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</si>
  <si>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</si>
  <si>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</si>
  <si>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</si>
  <si>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</si>
  <si>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</si>
  <si>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</si>
  <si>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</si>
  <si>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</si>
  <si>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</si>
  <si>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</si>
  <si>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</si>
  <si>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</si>
  <si>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</si>
  <si>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</si>
  <si>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</si>
  <si>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</si>
  <si>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</si>
  <si>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</si>
  <si>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</si>
  <si>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</si>
  <si>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</si>
  <si>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</si>
  <si>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</si>
  <si>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</si>
  <si>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</si>
  <si>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</si>
  <si>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</si>
  <si>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</si>
  <si>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</si>
  <si>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</si>
  <si>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</si>
  <si>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</si>
  <si>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</si>
  <si>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</si>
  <si>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</si>
  <si>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</si>
  <si>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</si>
  <si>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</si>
  <si>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</si>
  <si>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</si>
  <si>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</si>
  <si>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</si>
  <si>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</si>
  <si>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</si>
  <si>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</si>
  <si>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</si>
  <si>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</si>
  <si>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</si>
  <si>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</si>
  <si>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</si>
  <si>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</si>
  <si>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</si>
  <si>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</si>
  <si>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</si>
  <si>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</si>
  <si>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</si>
  <si>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</si>
  <si>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</si>
  <si>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</si>
  <si>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</si>
  <si>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</si>
  <si>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</si>
  <si>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</si>
  <si>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</si>
  <si>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</si>
  <si>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</si>
  <si>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</si>
  <si>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</si>
  <si>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</si>
  <si>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</si>
  <si>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</si>
  <si>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</si>
  <si>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</si>
  <si>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</si>
  <si>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</si>
  <si>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</si>
  <si>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</si>
  <si>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</si>
  <si>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</si>
  <si>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</si>
  <si>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</si>
  <si>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</si>
  <si>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</si>
  <si>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</si>
  <si>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</si>
  <si>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</si>
  <si>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</si>
  <si>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</si>
  <si>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</si>
  <si>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</si>
  <si>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</si>
  <si>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</si>
  <si>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</si>
  <si>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</si>
  <si>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</si>
  <si>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</si>
  <si>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</si>
  <si>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</si>
  <si>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</si>
  <si>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</si>
  <si>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</si>
  <si>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</si>
  <si>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</si>
  <si>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</si>
  <si>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</si>
  <si>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</si>
  <si>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</si>
  <si>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</si>
  <si>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</si>
  <si>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</si>
  <si>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</si>
  <si>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</si>
  <si>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</si>
  <si>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</si>
  <si>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</si>
  <si>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</si>
  <si>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</si>
  <si>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</si>
  <si>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</si>
  <si>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</si>
  <si>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</si>
  <si>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</si>
  <si>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</si>
  <si>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</si>
  <si>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</si>
  <si>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</si>
  <si>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</si>
  <si>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</si>
  <si>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</si>
  <si>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</si>
  <si>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</si>
  <si>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</si>
  <si>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</si>
  <si>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</si>
  <si>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</si>
  <si>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</si>
  <si>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</si>
  <si>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</si>
  <si>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</si>
  <si>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</si>
  <si>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</si>
  <si>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</si>
  <si>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</si>
  <si>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</si>
  <si>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</si>
  <si>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</si>
  <si>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</si>
  <si>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</si>
  <si>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</si>
  <si>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</si>
  <si>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</si>
  <si>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</si>
  <si>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</si>
  <si>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</si>
  <si>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</si>
  <si>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</si>
  <si>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</si>
  <si>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</si>
  <si>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</si>
  <si>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</si>
  <si>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</si>
  <si>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</si>
  <si>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</si>
  <si>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</si>
  <si>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</si>
  <si>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</si>
  <si>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</si>
  <si>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</si>
  <si>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</si>
  <si>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</si>
  <si>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</si>
  <si>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</si>
  <si>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</si>
  <si>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</si>
  <si>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</si>
  <si>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</si>
  <si>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</si>
  <si>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</si>
  <si>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</si>
  <si>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</si>
  <si>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pirmdiena, 2015. gada 12. janvāris</t>
  </si>
  <si>
    <t>KOPSKAITS:</t>
  </si>
  <si>
    <t>Gala summa</t>
  </si>
  <si>
    <t>Rindu etiķetes</t>
  </si>
  <si>
    <t>Summa no Ātrums</t>
  </si>
  <si>
    <t>y=a*Q19+R19</t>
  </si>
  <si>
    <t>a=pielietis daudz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</si>
</sst>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0.000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0" fontId="8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2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2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43" fontId="0" fillId="2" borderId="3" xfId="1" applyFont="1" applyFill="1" applyBorder="1"/>
    <xf numFmtId="0" fontId="3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wrapText="1"/>
    </xf>
    <xf numFmtId="0" fontId="21" fillId="6" borderId="0" xfId="0" applyFont="1" applyFill="1" applyAlignment="1">
      <alignment horizontal="center" wrapText="1"/>
    </xf>
    <xf numFmtId="0" fontId="0" fillId="6" borderId="0" xfId="0" applyFill="1"/>
    <xf numFmtId="0" fontId="18" fillId="6" borderId="0" xfId="0" applyFont="1" applyFill="1" applyAlignment="1">
      <alignment horizontal="center" wrapText="1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3-4D64-A6B9-930CECD0669B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23-4D64-A6B9-930CECD0669B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23-4D64-A6B9-930CECD06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815440"/>
        <c:axId val="1612830832"/>
      </c:lineChart>
      <c:catAx>
        <c:axId val="161281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612830832"/>
        <c:crosses val="autoZero"/>
        <c:auto val="1"/>
        <c:lblAlgn val="ctr"/>
        <c:lblOffset val="100"/>
        <c:noMultiLvlLbl val="0"/>
      </c:catAx>
      <c:valAx>
        <c:axId val="16128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61281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C-4A22-8A72-9791B0599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70512"/>
        <c:axId val="1964475088"/>
      </c:scatterChart>
      <c:valAx>
        <c:axId val="196447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4475088"/>
        <c:crosses val="autoZero"/>
        <c:crossBetween val="midCat"/>
      </c:valAx>
      <c:valAx>
        <c:axId val="19644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447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DB84B1C-2DEC-4A11-978A-BBD44813715D}">
          <cx:tx>
            <cx:txData>
              <cx:f>_xlchart.v1.0</cx:f>
              <cx:v>Ātrums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.300000012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14</xdr:row>
      <xdr:rowOff>0</xdr:rowOff>
    </xdr:from>
    <xdr:to>
      <xdr:col>18</xdr:col>
      <xdr:colOff>76200</xdr:colOff>
      <xdr:row>30</xdr:row>
      <xdr:rowOff>152400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2A78E598-9AEB-43FF-B408-4816D488B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18</xdr:row>
      <xdr:rowOff>0</xdr:rowOff>
    </xdr:from>
    <xdr:to>
      <xdr:col>17</xdr:col>
      <xdr:colOff>76200</xdr:colOff>
      <xdr:row>34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a 1">
              <a:extLst>
                <a:ext uri="{FF2B5EF4-FFF2-40B4-BE49-F238E27FC236}">
                  <a16:creationId xmlns:a16="http://schemas.microsoft.com/office/drawing/2014/main" id="{F6DBAE1F-F63B-4BA7-8BE9-465A08C7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4240" y="3078480"/>
              <a:ext cx="4724400" cy="2834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</xdr:colOff>
      <xdr:row>8</xdr:row>
      <xdr:rowOff>209550</xdr:rowOff>
    </xdr:from>
    <xdr:to>
      <xdr:col>15</xdr:col>
      <xdr:colOff>357187</xdr:colOff>
      <xdr:row>25</xdr:row>
      <xdr:rowOff>0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A486CBF1-5C3B-478A-AF71-C19D6C4D1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a Grantskalna" refreshedDate="46045.524319675926" createdVersion="7" refreshedVersion="7" minRefreshableVersion="3" recordCount="1482" xr:uid="{42A907FA-D0A0-4EA1-A573-ED73283F58C3}">
  <cacheSource type="worksheet">
    <worksheetSource ref="B1:G1483" sheet="velo"/>
  </cacheSource>
  <cacheFields count="6"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/>
    </cacheField>
    <cacheField name="Klubs" numFmtId="0">
      <sharedItems count="261">
        <s v="Rīga"/>
        <s v=""/>
        <s v="VIC velokurjers"/>
        <s v="V-sports"/>
        <s v="Krāsu nams"/>
        <s v="Viesnīca Santa"/>
        <s v="Bosch"/>
        <s v="Jelgava"/>
        <s v="Valmieras kom.Grods"/>
        <s v="Veloserviss"/>
        <s v="Sigulda"/>
        <s v="Ventspils"/>
        <s v="Vello 31"/>
        <s v="Valka"/>
        <s v="Marss"/>
        <s v="Rietumu Banka"/>
        <s v="Lateko"/>
        <s v="Komforts MTB"/>
        <s v="Komforts MTB RT"/>
        <s v="Aramini"/>
        <s v="Ondulat"/>
        <s v="Kuldīgas sporta sk."/>
        <s v="Karlos K"/>
        <s v="Tukums"/>
        <s v="Fans Cube Team"/>
        <s v="Jaunmārupe"/>
        <s v="Cēsis"/>
        <s v="Triāla klubs Karters"/>
        <s v="Team Milo Latvia"/>
        <s v="Spectus-Smiltene"/>
        <s v="Zumus"/>
        <s v="Ule"/>
        <s v="DTK"/>
        <s v="Latvello"/>
        <s v="Gūtmanis"/>
        <s v="NN-Marss"/>
        <s v="Tridens"/>
        <s v="Glazūra AG"/>
        <s v="Ogre-Latvello"/>
        <s v="Jūrmala"/>
        <s v="ZZK"/>
        <s v="JAM"/>
        <s v="Velobode"/>
        <s v="Madona"/>
        <s v="Ķegums"/>
        <s v="Priekuļi"/>
        <s v="Priekuļis"/>
        <s v="OK Prizma"/>
        <s v="Scantest"/>
        <s v="Auteko"/>
        <s v="Hansabanka"/>
        <s v="&quot;Projekts Pēdas&quot;"/>
        <s v="Spars"/>
        <s v="Raimaks"/>
        <s v="Krimuldas vsk."/>
        <s v="Salaspils Zīriņi"/>
        <s v="Velo-30"/>
        <s v="Concorde"/>
        <s v="Zumus sport"/>
        <s v="Tandēms/Dobele"/>
        <s v="Cēsis 800 - Cēsu alus"/>
        <s v="JV 11"/>
        <s v="Grifs AG"/>
        <s v="Ceļu Projekts"/>
        <s v="Kodak"/>
        <s v="Siguldas ģimn."/>
        <s v="LKSB"/>
        <s v="Kadaga"/>
        <s v="Grobiņa"/>
        <s v="Talsi"/>
        <s v="Dunalka"/>
        <s v="Ceru ģim."/>
        <s v="Jotul"/>
        <s v="BVA Auseklis"/>
        <s v="Bensons Auto"/>
        <s v="Reir"/>
        <s v="Ikšķile"/>
        <s v="BRT"/>
        <s v="Liepāja"/>
        <s v="Sprints AVK Tukums"/>
        <s v="Z-Pols"/>
        <s v="Berģi"/>
        <s v="Trek Philips"/>
        <s v="Tukums KMK"/>
        <s v="Beitāni"/>
        <s v="Velomaniac"/>
        <s v="Iecava"/>
        <s v="mtb.lv"/>
        <s v="www.247.lv"/>
        <s v="Fuji Team"/>
        <s v="IR"/>
        <s v="Ādažu vsk."/>
        <s v="Bauska"/>
        <s v="Hawaii Express"/>
        <s v="Smiltene-Spectus"/>
        <s v="Smiltene/Specuts"/>
        <s v="Kalngale"/>
        <s v="Tandēms"/>
        <s v="Varavīksne"/>
        <s v="Piņķi"/>
        <s v="Babīte"/>
        <s v="3V"/>
        <s v="Smiltene"/>
        <s v="Carnikava"/>
        <s v="Siguldas sporta sk."/>
        <s v="&quot;Projekts Pēda"/>
        <s v="Kuldīga"/>
        <s v="Vecdaugava"/>
        <s v="SK Favorīts"/>
        <s v="Daugavpils"/>
        <s v="Frukava"/>
        <s v="Zeņģis Racing Team"/>
        <s v="Elkor sports-author"/>
        <s v="Sprints AVK"/>
        <s v="SK More"/>
        <s v="Zepter"/>
        <s v="Vangaži"/>
        <s v="SK Brīvnieki"/>
        <s v="Trek-Philips"/>
        <s v="Otrā elpa"/>
        <s v="Valmiera"/>
        <s v="p/k Tinis"/>
        <s v="Cekules gaļas komb."/>
        <s v="Gandrs"/>
        <s v="Ogre"/>
        <s v="Arkādija"/>
        <s v="Tinis"/>
        <s v="Selonija"/>
        <s v="Rauna"/>
        <s v="Cēsis Reiņa trase"/>
        <s v="Iekšciems"/>
        <s v="Gulbene"/>
        <s v="Mārupe"/>
        <s v="Focus"/>
        <s v="augavpils"/>
        <s v="Elkor Sport Author"/>
        <s v="Capusta Club"/>
        <s v="Balvi"/>
        <s v="Baltika"/>
        <s v="Halis"/>
        <s v="SK Bebra"/>
        <s v="Mazsalaca"/>
        <s v="Hipotēku Banka"/>
        <s v="Kuldīgas sporta"/>
        <s v="Kwintet"/>
        <s v="&quot;Projekts Pē"/>
        <s v="NCC Konstrukcijas"/>
        <s v="X sports Corrate"/>
        <s v="Ģeogrāfi"/>
        <s v="Gandrs-Viss"/>
        <s v="xc.lv"/>
        <s v="JV11"/>
        <s v="Ulbroka"/>
        <s v="Ģimenīte &quot;Pipariņi&quot;"/>
        <s v="Balta"/>
        <s v="Rīgas Dome"/>
        <s v="Fokus Team"/>
        <s v="Ķekava"/>
        <s v="Schell Latvia"/>
        <s v="Rollerblade champion"/>
        <s v="Rollerblade-champion"/>
        <s v="Ropaži"/>
        <s v="Orfo"/>
        <s v="Theparadise.lv"/>
        <s v="Focus Team"/>
        <s v="SEB Unibanka"/>
        <s v="VAB"/>
        <s v="Ozolnieki"/>
        <s v="Timurs"/>
        <s v="R/a 2 koki u"/>
        <s v="Ādaži"/>
        <s v="Lāči"/>
        <s v="PRO Kapital Latvia"/>
        <s v="PRD Kapital Latvia"/>
        <s v="ZAP"/>
        <s v="Ķekavas vsk"/>
        <s v="Grods"/>
        <s v="tb.lv"/>
        <s v="Turaida"/>
        <s v="Fraternitas Lettica"/>
        <s v="MSĢ"/>
        <s v="Fans Cub"/>
        <s v="Tandēms/Dobel"/>
        <s v="Salspils trase"/>
        <s v="Tukuma sporta sk."/>
        <s v="Krimuldas"/>
        <s v="Eži"/>
        <s v="Lonebiker"/>
        <s v="Ogres raj."/>
        <s v="X-sports Cor"/>
        <s v="Elkor sport-author"/>
        <s v="Rietumu nafta"/>
        <s v="Spectus/Smiltene"/>
        <s v="Olaine"/>
        <s v="Tērvete"/>
        <s v="Bābelīte"/>
        <s v="Dūdas"/>
        <s v="Saldus"/>
        <s v="karters.lv"/>
        <s v="Salaspils"/>
        <s v="Frukawa"/>
        <s v="Limbaži"/>
        <s v="Santeko"/>
        <s v="R/a 2 koki u.c. Zvēri"/>
        <s v="KHS-Briko"/>
        <s v="Latvijas Gāze"/>
        <s v="NCC Konstrukcij"/>
        <s v="Cirkulis"/>
        <s v="Saulkrasti"/>
        <s v="V3"/>
        <s v="Hotel Centra Latvello"/>
        <s v="Kāpa"/>
        <s v="Dual"/>
        <s v="Sia Laneks-Kone"/>
        <s v="Velo 30"/>
        <s v="Talsu raj."/>
        <s v="Laumas"/>
        <s v="Ape"/>
        <s v="Līnijdeju klubs"/>
        <s v="Ikšķiles varenais trijnieks"/>
        <s v="Patrioti"/>
        <s v="z/s Beitāni"/>
        <s v="Vecāķi"/>
        <s v="Apallie"/>
        <s v="Grīziņš"/>
        <s v="Kuldīgas sp.sk"/>
        <s v="Baldone"/>
        <s v="Splīte"/>
        <s v="Zariņi"/>
        <s v="Komin"/>
        <s v="Mālpils"/>
        <s v="Bieriņi"/>
        <s v="Dunalka-Kuldīgas sp.sk"/>
        <s v="Woodline"/>
        <s v="Superior"/>
        <s v="SK Vidzeme"/>
        <s v="People"/>
        <s v="Focus Saulkrasti"/>
        <s v="Nikari"/>
        <s v="Big Team"/>
        <s v="Fotolukss"/>
        <s v="NBS Sporta klubs"/>
        <s v="Berģu 50"/>
        <s v="Ragana"/>
        <s v="Uve"/>
        <s v="VIP Style"/>
        <s v="Amserv Motors"/>
        <s v="Viesuļi"/>
        <s v="Alūksne"/>
        <s v="Aloja"/>
        <s v="Maskava"/>
        <s v="Lielvārde"/>
        <s v="3W"/>
        <s v="IT Alise"/>
        <s v="X sports Corratec"/>
        <s v="Tandems"/>
        <s v="Zelči"/>
        <s v="Kaķīškalns"/>
        <s v="Martins un Co"/>
        <s v="Zeņģis Racinng Team"/>
        <s v="OK Alnis"/>
      </sharedItems>
    </cacheField>
    <cacheField name="Laiks" numFmtId="0">
      <sharedItems/>
    </cacheField>
    <cacheField name="Ātrums" numFmtId="0">
      <sharedItems containsSemiMixedTypes="0" containsString="0" containsNumber="1" minValue="13" maxValue="45.2" count="238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2">
  <r>
    <x v="0"/>
    <s v="Ābele"/>
    <s v="Ieva"/>
    <x v="0"/>
    <s v="2:03:17"/>
    <x v="0"/>
  </r>
  <r>
    <x v="1"/>
    <s v="Ābelīte"/>
    <s v="Renārs"/>
    <x v="1"/>
    <s v="1:17:53"/>
    <x v="1"/>
  </r>
  <r>
    <x v="2"/>
    <s v="Ābelīts"/>
    <s v="Sandis"/>
    <x v="2"/>
    <s v="1:02:55"/>
    <x v="2"/>
  </r>
  <r>
    <x v="2"/>
    <s v="Ābelīts"/>
    <s v="Valdis"/>
    <x v="3"/>
    <s v="1:22:23"/>
    <x v="3"/>
  </r>
  <r>
    <x v="2"/>
    <s v="Ābeļkalns"/>
    <s v="Ilvis"/>
    <x v="1"/>
    <s v="1:20:49"/>
    <x v="4"/>
  </r>
  <r>
    <x v="2"/>
    <s v="Ābiķis"/>
    <s v="Dzintars"/>
    <x v="1"/>
    <s v="1:32:43"/>
    <x v="5"/>
  </r>
  <r>
    <x v="2"/>
    <s v="Abiņš"/>
    <s v="Juris"/>
    <x v="4"/>
    <s v="1:01:59"/>
    <x v="6"/>
  </r>
  <r>
    <x v="2"/>
    <s v="Āboliņš"/>
    <s v="Gatis"/>
    <x v="5"/>
    <s v="1:15:42"/>
    <x v="1"/>
  </r>
  <r>
    <x v="2"/>
    <s v="Āboliņš"/>
    <s v="Āris"/>
    <x v="1"/>
    <s v="1:23:20"/>
    <x v="7"/>
  </r>
  <r>
    <x v="1"/>
    <s v="Adijāns"/>
    <s v="Edgars"/>
    <x v="6"/>
    <s v="1:23:25"/>
    <x v="8"/>
  </r>
  <r>
    <x v="2"/>
    <s v="Agejevs"/>
    <s v="Aleksandrs"/>
    <x v="2"/>
    <s v="1:03:42"/>
    <x v="9"/>
  </r>
  <r>
    <x v="2"/>
    <s v="Aizkalns"/>
    <s v="Matīss"/>
    <x v="1"/>
    <s v="1:40:14"/>
    <x v="10"/>
  </r>
  <r>
    <x v="3"/>
    <s v="Aizkalns"/>
    <s v="Olita"/>
    <x v="7"/>
    <s v="1:39:45"/>
    <x v="11"/>
  </r>
  <r>
    <x v="4"/>
    <s v="Aizkalns"/>
    <s v="Mārcis"/>
    <x v="7"/>
    <s v="1:16:46"/>
    <x v="12"/>
  </r>
  <r>
    <x v="5"/>
    <s v="Aizkalns"/>
    <s v="Normunds"/>
    <x v="7"/>
    <s v="1:50:53"/>
    <x v="13"/>
  </r>
  <r>
    <x v="2"/>
    <s v="Aizups"/>
    <s v="Andris"/>
    <x v="1"/>
    <s v="1:16:55"/>
    <x v="14"/>
  </r>
  <r>
    <x v="3"/>
    <s v="Akmentiņa"/>
    <s v="Laura"/>
    <x v="8"/>
    <s v="1:59:21"/>
    <x v="0"/>
  </r>
  <r>
    <x v="2"/>
    <s v="Āķis"/>
    <s v="Mikus"/>
    <x v="0"/>
    <s v="1:41:19"/>
    <x v="15"/>
  </r>
  <r>
    <x v="2"/>
    <s v="Āķis"/>
    <s v="Helmuts"/>
    <x v="0"/>
    <s v="1:39:28"/>
    <x v="16"/>
  </r>
  <r>
    <x v="1"/>
    <s v="Āķis"/>
    <s v="Sandis"/>
    <x v="1"/>
    <s v="1:15:34"/>
    <x v="17"/>
  </r>
  <r>
    <x v="2"/>
    <s v="Albāts"/>
    <s v="Jānis"/>
    <x v="0"/>
    <s v="2:04:13"/>
    <x v="18"/>
  </r>
  <r>
    <x v="2"/>
    <s v="Albāts"/>
    <s v="Lauris"/>
    <x v="0"/>
    <s v="2:04:12"/>
    <x v="18"/>
  </r>
  <r>
    <x v="3"/>
    <s v="Alberte"/>
    <s v="Madara"/>
    <x v="1"/>
    <s v="1:10:22"/>
    <x v="19"/>
  </r>
  <r>
    <x v="2"/>
    <s v="Alberts"/>
    <s v="Māris"/>
    <x v="1"/>
    <s v="1:08:40"/>
    <x v="20"/>
  </r>
  <r>
    <x v="2"/>
    <s v="Aleksandrovs"/>
    <s v="Aleksandrs"/>
    <x v="9"/>
    <s v="0:57:37"/>
    <x v="21"/>
  </r>
  <r>
    <x v="2"/>
    <s v="Aleksīns"/>
    <s v="Viesturs"/>
    <x v="0"/>
    <s v="1:12:16"/>
    <x v="22"/>
  </r>
  <r>
    <x v="6"/>
    <s v="Aliks"/>
    <s v="Juris"/>
    <x v="1"/>
    <s v="1:52:09"/>
    <x v="23"/>
  </r>
  <r>
    <x v="6"/>
    <s v="Alksnis"/>
    <s v="Māris"/>
    <x v="1"/>
    <s v="1:30:07"/>
    <x v="24"/>
  </r>
  <r>
    <x v="2"/>
    <s v="Alsiņš"/>
    <s v="Reinis"/>
    <x v="1"/>
    <s v="1:28:52"/>
    <x v="25"/>
  </r>
  <r>
    <x v="2"/>
    <s v="Alsiņš"/>
    <s v="Modris"/>
    <x v="1"/>
    <s v="1:17:36"/>
    <x v="26"/>
  </r>
  <r>
    <x v="2"/>
    <s v="Alviķis"/>
    <s v="Pauls"/>
    <x v="10"/>
    <s v="1:44:53"/>
    <x v="27"/>
  </r>
  <r>
    <x v="7"/>
    <s v="Aļeksejevs"/>
    <s v="Leonīds"/>
    <x v="1"/>
    <s v="1:38:56"/>
    <x v="28"/>
  </r>
  <r>
    <x v="5"/>
    <s v="Ambainis"/>
    <s v="Aigars"/>
    <x v="1"/>
    <s v="1:10:30"/>
    <x v="29"/>
  </r>
  <r>
    <x v="2"/>
    <s v="Ameters"/>
    <s v="Armands"/>
    <x v="0"/>
    <s v="1:35:46"/>
    <x v="30"/>
  </r>
  <r>
    <x v="2"/>
    <s v="Anderdorfs"/>
    <s v="Janeks"/>
    <x v="11"/>
    <s v="1:06:33"/>
    <x v="31"/>
  </r>
  <r>
    <x v="5"/>
    <s v="Andersons"/>
    <s v="Arvils"/>
    <x v="1"/>
    <s v="1:10:32"/>
    <x v="29"/>
  </r>
  <r>
    <x v="2"/>
    <s v="Andersons"/>
    <s v="Ilmārs"/>
    <x v="12"/>
    <s v="1:51:44"/>
    <x v="32"/>
  </r>
  <r>
    <x v="2"/>
    <s v="Andrejevs"/>
    <s v="Andrejs"/>
    <x v="13"/>
    <s v="1:06:21"/>
    <x v="33"/>
  </r>
  <r>
    <x v="3"/>
    <s v="Andrijanova"/>
    <s v="Indra"/>
    <x v="1"/>
    <s v="1:30:50"/>
    <x v="34"/>
  </r>
  <r>
    <x v="8"/>
    <s v="Andrijanovs"/>
    <s v="Reinis"/>
    <x v="14"/>
    <s v="1:38:39"/>
    <x v="35"/>
  </r>
  <r>
    <x v="9"/>
    <s v="Ansons"/>
    <s v="Artūrs"/>
    <x v="15"/>
    <s v="1:37:32"/>
    <x v="36"/>
  </r>
  <r>
    <x v="3"/>
    <s v="Anspoka"/>
    <s v="Ilze"/>
    <x v="10"/>
    <s v="1:57:12"/>
    <x v="37"/>
  </r>
  <r>
    <x v="2"/>
    <s v="Anspoks"/>
    <s v="Andris"/>
    <x v="10"/>
    <s v="2:07:12"/>
    <x v="38"/>
  </r>
  <r>
    <x v="2"/>
    <s v="Antonovs"/>
    <s v="Andrejs"/>
    <x v="9"/>
    <s v="1:12:03"/>
    <x v="39"/>
  </r>
  <r>
    <x v="1"/>
    <s v="Antropovs"/>
    <s v="Peteris"/>
    <x v="16"/>
    <s v="1:13:32"/>
    <x v="40"/>
  </r>
  <r>
    <x v="2"/>
    <s v="Apsītis"/>
    <s v="Jānis"/>
    <x v="17"/>
    <s v="1:07:23"/>
    <x v="41"/>
  </r>
  <r>
    <x v="2"/>
    <s v="Apsītis"/>
    <s v="Matīss"/>
    <x v="18"/>
    <s v="1:03:02"/>
    <x v="2"/>
  </r>
  <r>
    <x v="2"/>
    <s v="Apsītis"/>
    <s v="Mārcis"/>
    <x v="18"/>
    <s v="1:08:48"/>
    <x v="20"/>
  </r>
  <r>
    <x v="3"/>
    <s v="Aramina"/>
    <s v="Agnese"/>
    <x v="19"/>
    <s v="1:26:30"/>
    <x v="42"/>
  </r>
  <r>
    <x v="2"/>
    <s v="Aramins"/>
    <s v="Uldis"/>
    <x v="19"/>
    <s v="1:12:01"/>
    <x v="39"/>
  </r>
  <r>
    <x v="2"/>
    <s v="Aramins"/>
    <s v="Artis"/>
    <x v="19"/>
    <s v="1:06:26"/>
    <x v="33"/>
  </r>
  <r>
    <x v="3"/>
    <s v="Arbidāne"/>
    <s v="Kristīne"/>
    <x v="20"/>
    <s v="1:32:52"/>
    <x v="5"/>
  </r>
  <r>
    <x v="2"/>
    <s v="Arbidāns"/>
    <s v="Uldis"/>
    <x v="1"/>
    <s v="1:02:35"/>
    <x v="43"/>
  </r>
  <r>
    <x v="4"/>
    <s v="Arsts"/>
    <s v="Jānis"/>
    <x v="1"/>
    <s v="1:06:04"/>
    <x v="44"/>
  </r>
  <r>
    <x v="2"/>
    <s v="Auriņš"/>
    <s v="Jānis"/>
    <x v="1"/>
    <s v="1:13:55"/>
    <x v="45"/>
  </r>
  <r>
    <x v="4"/>
    <s v="Ausmanis"/>
    <s v="Dzintars"/>
    <x v="21"/>
    <s v="1:20:47"/>
    <x v="46"/>
  </r>
  <r>
    <x v="2"/>
    <s v="Avens"/>
    <s v="Āris"/>
    <x v="3"/>
    <s v="1:35:04"/>
    <x v="47"/>
  </r>
  <r>
    <x v="9"/>
    <s v="Avens"/>
    <s v="Reinis"/>
    <x v="3"/>
    <s v="1:39:17"/>
    <x v="48"/>
  </r>
  <r>
    <x v="2"/>
    <s v="Avotiņš"/>
    <s v="Sandris"/>
    <x v="9"/>
    <s v="1:12:43"/>
    <x v="49"/>
  </r>
  <r>
    <x v="3"/>
    <s v="Baklanova"/>
    <s v="Kristīne"/>
    <x v="22"/>
    <s v="1:55:02"/>
    <x v="50"/>
  </r>
  <r>
    <x v="1"/>
    <s v="Baklāns"/>
    <s v="Jānis"/>
    <x v="1"/>
    <s v="1:22:46"/>
    <x v="51"/>
  </r>
  <r>
    <x v="3"/>
    <s v="Bāliņa"/>
    <s v="Līga"/>
    <x v="1"/>
    <s v="1:41:28"/>
    <x v="52"/>
  </r>
  <r>
    <x v="3"/>
    <s v="Bāliņa"/>
    <s v="Ilze"/>
    <x v="1"/>
    <s v="2:16:38"/>
    <x v="53"/>
  </r>
  <r>
    <x v="2"/>
    <s v="Bāliņš"/>
    <s v="Kaspars"/>
    <x v="1"/>
    <s v="1:08:08"/>
    <x v="54"/>
  </r>
  <r>
    <x v="2"/>
    <s v="Balodis"/>
    <s v="Balodis"/>
    <x v="23"/>
    <s v="1:12:34"/>
    <x v="55"/>
  </r>
  <r>
    <x v="1"/>
    <s v="Balodis"/>
    <s v="Ainārs"/>
    <x v="24"/>
    <s v="1:07:49"/>
    <x v="56"/>
  </r>
  <r>
    <x v="9"/>
    <s v="Balodis"/>
    <s v="Jānis"/>
    <x v="0"/>
    <s v="1:45:47"/>
    <x v="57"/>
  </r>
  <r>
    <x v="1"/>
    <s v="Baltiņš"/>
    <s v="Edgars"/>
    <x v="1"/>
    <s v="1:27:56"/>
    <x v="58"/>
  </r>
  <r>
    <x v="1"/>
    <s v="Baltiņš"/>
    <s v="Vilnis"/>
    <x v="25"/>
    <s v="1:38:57"/>
    <x v="59"/>
  </r>
  <r>
    <x v="2"/>
    <s v="Baltiņš"/>
    <s v="Visvaldis"/>
    <x v="26"/>
    <s v="1:16:52"/>
    <x v="14"/>
  </r>
  <r>
    <x v="2"/>
    <s v="Baltiņš"/>
    <s v="Kārlis"/>
    <x v="27"/>
    <s v="1:36:52"/>
    <x v="60"/>
  </r>
  <r>
    <x v="2"/>
    <s v="Bamers"/>
    <s v="Jānis"/>
    <x v="28"/>
    <s v="2:01:30"/>
    <x v="61"/>
  </r>
  <r>
    <x v="2"/>
    <s v="Banders"/>
    <s v="Didzis"/>
    <x v="1"/>
    <s v="1:28:05"/>
    <x v="62"/>
  </r>
  <r>
    <x v="5"/>
    <s v="Baranovskis"/>
    <s v="Guntars"/>
    <x v="29"/>
    <s v="1:01:07"/>
    <x v="63"/>
  </r>
  <r>
    <x v="2"/>
    <s v="Bārenis"/>
    <s v="Aigars"/>
    <x v="15"/>
    <s v="1:01:55"/>
    <x v="64"/>
  </r>
  <r>
    <x v="1"/>
    <s v="Bāris"/>
    <s v="Armands"/>
    <x v="1"/>
    <s v="2:19:11"/>
    <x v="65"/>
  </r>
  <r>
    <x v="2"/>
    <s v="Barkovskis"/>
    <s v="Aleksandrs"/>
    <x v="0"/>
    <s v="1:43:23"/>
    <x v="66"/>
  </r>
  <r>
    <x v="2"/>
    <s v="Barons"/>
    <s v="Mārtiņš"/>
    <x v="1"/>
    <s v="1:11:56"/>
    <x v="39"/>
  </r>
  <r>
    <x v="2"/>
    <s v="Bartavskis"/>
    <s v="Janis"/>
    <x v="0"/>
    <s v="1:39:16"/>
    <x v="16"/>
  </r>
  <r>
    <x v="2"/>
    <s v="Bartusauskis"/>
    <s v="Raivis"/>
    <x v="0"/>
    <s v="1:35:00"/>
    <x v="67"/>
  </r>
  <r>
    <x v="10"/>
    <s v="Bartuševičs"/>
    <s v="Rihards"/>
    <x v="30"/>
    <s v="1:39:06"/>
    <x v="48"/>
  </r>
  <r>
    <x v="11"/>
    <s v="Bartuševičs"/>
    <s v="Mečeslavs"/>
    <x v="30"/>
    <s v="1:40:51"/>
    <x v="68"/>
  </r>
  <r>
    <x v="1"/>
    <s v="Barzdevičs"/>
    <s v="Aigars"/>
    <x v="1"/>
    <s v="1:46:46"/>
    <x v="69"/>
  </r>
  <r>
    <x v="3"/>
    <s v="Batraga"/>
    <s v="Irēna"/>
    <x v="1"/>
    <s v="1:29:14"/>
    <x v="70"/>
  </r>
  <r>
    <x v="2"/>
    <s v="Batrags"/>
    <s v="Mārtiņš"/>
    <x v="1"/>
    <s v="1:15:22"/>
    <x v="71"/>
  </r>
  <r>
    <x v="2"/>
    <s v="Baumanis"/>
    <s v="Kaspars"/>
    <x v="31"/>
    <s v="1:50:46"/>
    <x v="72"/>
  </r>
  <r>
    <x v="2"/>
    <s v="Baumanis"/>
    <s v="Dāvis"/>
    <x v="32"/>
    <s v="1:19:36"/>
    <x v="73"/>
  </r>
  <r>
    <x v="2"/>
    <s v="Baumanis"/>
    <s v="Hardijs"/>
    <x v="32"/>
    <s v="1:15:59"/>
    <x v="74"/>
  </r>
  <r>
    <x v="12"/>
    <s v="Baumanis"/>
    <s v="Viktors"/>
    <x v="33"/>
    <s v="1:40:53"/>
    <x v="68"/>
  </r>
  <r>
    <x v="2"/>
    <s v="Bazevičs"/>
    <s v="Jānis"/>
    <x v="34"/>
    <s v="0:59:51"/>
    <x v="75"/>
  </r>
  <r>
    <x v="2"/>
    <s v="Bebrovskis"/>
    <s v="Ģirts"/>
    <x v="0"/>
    <s v="1:29:22"/>
    <x v="76"/>
  </r>
  <r>
    <x v="13"/>
    <s v="Bēcis"/>
    <s v="Armands"/>
    <x v="30"/>
    <s v="1:05:51"/>
    <x v="77"/>
  </r>
  <r>
    <x v="1"/>
    <s v="Beika"/>
    <s v="Normuds"/>
    <x v="1"/>
    <s v="1:11:23"/>
    <x v="78"/>
  </r>
  <r>
    <x v="4"/>
    <s v="Beitāns"/>
    <s v="Niks"/>
    <x v="1"/>
    <s v="1:35:26"/>
    <x v="5"/>
  </r>
  <r>
    <x v="5"/>
    <s v="Beitāns"/>
    <s v="Kaspars"/>
    <x v="1"/>
    <s v="1:21:04"/>
    <x v="79"/>
  </r>
  <r>
    <x v="10"/>
    <s v="Bekmanis"/>
    <s v="Indulis"/>
    <x v="35"/>
    <s v="1:37:33"/>
    <x v="36"/>
  </r>
  <r>
    <x v="2"/>
    <s v="Beķeris"/>
    <s v="Juris"/>
    <x v="9"/>
    <s v="1:42:34"/>
    <x v="80"/>
  </r>
  <r>
    <x v="2"/>
    <s v="Beķeris"/>
    <s v="Guntis"/>
    <x v="9"/>
    <s v="1:42:33"/>
    <x v="80"/>
  </r>
  <r>
    <x v="1"/>
    <s v="Beķeris"/>
    <s v="Pēteris"/>
    <x v="36"/>
    <s v="1:19:56"/>
    <x v="26"/>
  </r>
  <r>
    <x v="2"/>
    <s v="Beķeris"/>
    <s v="Gints"/>
    <x v="9"/>
    <s v="1:42:33"/>
    <x v="80"/>
  </r>
  <r>
    <x v="2"/>
    <s v="Beķis"/>
    <s v="Normunds"/>
    <x v="37"/>
    <s v="0:58:09"/>
    <x v="81"/>
  </r>
  <r>
    <x v="11"/>
    <s v="Belmanis"/>
    <s v="Oļģerts"/>
    <x v="38"/>
    <s v="2:11:28"/>
    <x v="44"/>
  </r>
  <r>
    <x v="11"/>
    <s v="Belozerovs"/>
    <s v="Anatolijs"/>
    <x v="33"/>
    <s v="1:59:47"/>
    <x v="82"/>
  </r>
  <r>
    <x v="3"/>
    <s v="Bemere"/>
    <s v="Rūta"/>
    <x v="28"/>
    <s v="2:01:32"/>
    <x v="61"/>
  </r>
  <r>
    <x v="2"/>
    <s v="Benefelds"/>
    <s v="Artis"/>
    <x v="0"/>
    <s v="1:11:23"/>
    <x v="83"/>
  </r>
  <r>
    <x v="2"/>
    <s v="Benhens"/>
    <s v="Uldis"/>
    <x v="39"/>
    <s v="1:16:43"/>
    <x v="14"/>
  </r>
  <r>
    <x v="4"/>
    <s v="Benhens"/>
    <s v="Ernests"/>
    <x v="10"/>
    <s v="1:13:32"/>
    <x v="40"/>
  </r>
  <r>
    <x v="3"/>
    <s v="Berga"/>
    <s v="Evita"/>
    <x v="1"/>
    <s v="1:41:11"/>
    <x v="15"/>
  </r>
  <r>
    <x v="6"/>
    <s v="Bergmanis"/>
    <s v="Viesturs"/>
    <x v="1"/>
    <s v="1:07:44"/>
    <x v="56"/>
  </r>
  <r>
    <x v="1"/>
    <s v="Bergmanis"/>
    <s v="Uno"/>
    <x v="1"/>
    <s v="1:20:19"/>
    <x v="84"/>
  </r>
  <r>
    <x v="14"/>
    <s v="Bergs"/>
    <s v="Juris"/>
    <x v="26"/>
    <s v="1:21:47"/>
    <x v="85"/>
  </r>
  <r>
    <x v="2"/>
    <s v="Bergs"/>
    <s v="Toms"/>
    <x v="40"/>
    <s v="1:23:36"/>
    <x v="86"/>
  </r>
  <r>
    <x v="2"/>
    <s v="Berhards"/>
    <s v="Kristiāns"/>
    <x v="41"/>
    <s v="1:28:31"/>
    <x v="87"/>
  </r>
  <r>
    <x v="1"/>
    <s v="Berjoza"/>
    <s v="Ojārs"/>
    <x v="42"/>
    <s v="1:15:46"/>
    <x v="17"/>
  </r>
  <r>
    <x v="1"/>
    <s v="Berkmanis"/>
    <s v="Viktors"/>
    <x v="26"/>
    <s v="1:26:12"/>
    <x v="88"/>
  </r>
  <r>
    <x v="3"/>
    <s v="Berķe"/>
    <s v="Ingūna"/>
    <x v="0"/>
    <s v="1:33:17"/>
    <x v="89"/>
  </r>
  <r>
    <x v="4"/>
    <s v="Berķis"/>
    <s v="Valdis"/>
    <x v="30"/>
    <s v="1:03:59"/>
    <x v="90"/>
  </r>
  <r>
    <x v="5"/>
    <s v="Berķis"/>
    <s v="Andris"/>
    <x v="43"/>
    <s v="1:09:46"/>
    <x v="91"/>
  </r>
  <r>
    <x v="5"/>
    <s v="Berķis"/>
    <s v="Armands"/>
    <x v="30"/>
    <s v="1:13:46"/>
    <x v="92"/>
  </r>
  <r>
    <x v="1"/>
    <s v="Berķis"/>
    <s v="Kristaps"/>
    <x v="44"/>
    <s v="1:18:59"/>
    <x v="14"/>
  </r>
  <r>
    <x v="4"/>
    <s v="Berķis"/>
    <s v="Viesturs"/>
    <x v="30"/>
    <s v="1:15:25"/>
    <x v="93"/>
  </r>
  <r>
    <x v="3"/>
    <s v="Bernāne"/>
    <s v="Kristīna"/>
    <x v="45"/>
    <s v="1:15:11"/>
    <x v="94"/>
  </r>
  <r>
    <x v="3"/>
    <s v="Bernāne"/>
    <s v="Herta"/>
    <x v="45"/>
    <s v="1:21:35"/>
    <x v="95"/>
  </r>
  <r>
    <x v="2"/>
    <s v="Bernāns"/>
    <s v="Mārtiņš"/>
    <x v="0"/>
    <s v="1:12:56"/>
    <x v="96"/>
  </r>
  <r>
    <x v="15"/>
    <s v="Bernāns"/>
    <s v="Miķelis"/>
    <x v="45"/>
    <s v="1:07:21"/>
    <x v="97"/>
  </r>
  <r>
    <x v="2"/>
    <s v="Bernāns"/>
    <s v="Uģis"/>
    <x v="46"/>
    <s v="1:14:29"/>
    <x v="12"/>
  </r>
  <r>
    <x v="2"/>
    <s v="Berners"/>
    <s v="Edvīns"/>
    <x v="47"/>
    <s v="1:17:26"/>
    <x v="98"/>
  </r>
  <r>
    <x v="3"/>
    <s v="Bernharde"/>
    <s v="Beāte"/>
    <x v="10"/>
    <s v="1:35:52"/>
    <x v="30"/>
  </r>
  <r>
    <x v="2"/>
    <s v="Bernhards"/>
    <s v="Andris"/>
    <x v="10"/>
    <s v="1:35:52"/>
    <x v="30"/>
  </r>
  <r>
    <x v="8"/>
    <s v="Bērsons"/>
    <s v="Edgars"/>
    <x v="14"/>
    <s v="1:38:51"/>
    <x v="28"/>
  </r>
  <r>
    <x v="3"/>
    <s v="Bērziņa"/>
    <s v="Lauma"/>
    <x v="10"/>
    <s v="1:29:26"/>
    <x v="76"/>
  </r>
  <r>
    <x v="3"/>
    <s v="Bērziņa"/>
    <s v="Sarma"/>
    <x v="1"/>
    <s v="1:34:24"/>
    <x v="99"/>
  </r>
  <r>
    <x v="3"/>
    <s v="Bērziņa"/>
    <s v="Dace"/>
    <x v="9"/>
    <s v="2:24:09"/>
    <x v="100"/>
  </r>
  <r>
    <x v="2"/>
    <s v="Bērziņš"/>
    <s v="Aivars"/>
    <x v="48"/>
    <s v="1:21:56"/>
    <x v="101"/>
  </r>
  <r>
    <x v="1"/>
    <s v="Bērziņš"/>
    <s v="Jēkabs"/>
    <x v="0"/>
    <s v="1:26:17"/>
    <x v="88"/>
  </r>
  <r>
    <x v="1"/>
    <s v="Bērziņš"/>
    <s v="Jānis"/>
    <x v="1"/>
    <s v="1:15:41"/>
    <x v="17"/>
  </r>
  <r>
    <x v="2"/>
    <s v="Bērziņš"/>
    <s v="Aldis"/>
    <x v="0"/>
    <s v="1:03:12"/>
    <x v="102"/>
  </r>
  <r>
    <x v="2"/>
    <s v="Bērziņš"/>
    <s v="Viesturs"/>
    <x v="1"/>
    <s v="1:23:15"/>
    <x v="7"/>
  </r>
  <r>
    <x v="2"/>
    <s v="Bērziņš"/>
    <s v="Artis"/>
    <x v="49"/>
    <s v="1:27:59"/>
    <x v="62"/>
  </r>
  <r>
    <x v="2"/>
    <s v="Bērziņš"/>
    <s v="Juris"/>
    <x v="50"/>
    <s v="1:42:21"/>
    <x v="103"/>
  </r>
  <r>
    <x v="2"/>
    <s v="Bērziņš"/>
    <s v="Kristaps"/>
    <x v="51"/>
    <s v="2:09:27"/>
    <x v="104"/>
  </r>
  <r>
    <x v="2"/>
    <s v="Bērziņš"/>
    <s v="Sandris"/>
    <x v="51"/>
    <s v="1:13:04"/>
    <x v="96"/>
  </r>
  <r>
    <x v="2"/>
    <s v="Bērziņš"/>
    <s v="Imants"/>
    <x v="9"/>
    <s v="2:24:10"/>
    <x v="100"/>
  </r>
  <r>
    <x v="2"/>
    <s v="Bērziņš"/>
    <s v="Jānis"/>
    <x v="9"/>
    <s v="2:07:15"/>
    <x v="38"/>
  </r>
  <r>
    <x v="2"/>
    <s v="Bērziņš"/>
    <s v="Jānis"/>
    <x v="50"/>
    <s v="1:18:24"/>
    <x v="46"/>
  </r>
  <r>
    <x v="2"/>
    <s v="Bērziņš"/>
    <s v="Arnis"/>
    <x v="1"/>
    <s v="1:19:39"/>
    <x v="73"/>
  </r>
  <r>
    <x v="13"/>
    <s v="Bethens"/>
    <s v="Zigmunds"/>
    <x v="52"/>
    <s v="1:56:20"/>
    <x v="105"/>
  </r>
  <r>
    <x v="16"/>
    <s v="Bidiņa"/>
    <s v="Luīze"/>
    <x v="1"/>
    <s v="2:07:33"/>
    <x v="18"/>
  </r>
  <r>
    <x v="16"/>
    <s v="Bidiņa"/>
    <s v="Agate"/>
    <x v="1"/>
    <s v="2:24:41"/>
    <x v="106"/>
  </r>
  <r>
    <x v="5"/>
    <s v="Bidiņš"/>
    <s v="Uldis"/>
    <x v="1"/>
    <s v="1:21:14"/>
    <x v="107"/>
  </r>
  <r>
    <x v="1"/>
    <s v="Bīlāns"/>
    <s v="Kaspars"/>
    <x v="10"/>
    <s v="1:19:00"/>
    <x v="14"/>
  </r>
  <r>
    <x v="1"/>
    <s v="Bilzēns"/>
    <s v="Rihards"/>
    <x v="0"/>
    <s v="1:24:25"/>
    <x v="108"/>
  </r>
  <r>
    <x v="6"/>
    <s v="Bilzēns"/>
    <s v="Atis"/>
    <x v="0"/>
    <s v="1:49:45"/>
    <x v="109"/>
  </r>
  <r>
    <x v="2"/>
    <s v="Biraus"/>
    <s v="Agris"/>
    <x v="1"/>
    <s v="1:31:01"/>
    <x v="110"/>
  </r>
  <r>
    <x v="2"/>
    <s v="Birkants"/>
    <s v="Viesturs"/>
    <x v="1"/>
    <s v="1:21:38"/>
    <x v="95"/>
  </r>
  <r>
    <x v="2"/>
    <s v="Birkants"/>
    <s v="Pēteris"/>
    <x v="1"/>
    <s v="1:14:19"/>
    <x v="111"/>
  </r>
  <r>
    <x v="3"/>
    <s v="Birkentāla"/>
    <s v="Raivita"/>
    <x v="53"/>
    <s v="1:02:55"/>
    <x v="2"/>
  </r>
  <r>
    <x v="2"/>
    <s v="Birkentāls"/>
    <s v="Nauris"/>
    <x v="53"/>
    <s v="1:03:12"/>
    <x v="102"/>
  </r>
  <r>
    <x v="2"/>
    <s v="Birks"/>
    <s v="Aivars"/>
    <x v="1"/>
    <s v="1:16:49"/>
    <x v="14"/>
  </r>
  <r>
    <x v="3"/>
    <s v="Birža"/>
    <s v="Inese"/>
    <x v="51"/>
    <s v="1:36:09"/>
    <x v="59"/>
  </r>
  <r>
    <x v="2"/>
    <s v="Bisenieks"/>
    <s v="Juris"/>
    <x v="1"/>
    <s v="1:29:08"/>
    <x v="70"/>
  </r>
  <r>
    <x v="2"/>
    <s v="Bitītis"/>
    <s v="Kārlis"/>
    <x v="54"/>
    <s v="1:08:27"/>
    <x v="29"/>
  </r>
  <r>
    <x v="2"/>
    <s v="Bitītis"/>
    <s v="Toms"/>
    <x v="54"/>
    <s v="1:25:49"/>
    <x v="112"/>
  </r>
  <r>
    <x v="2"/>
    <s v="Bitītis"/>
    <s v="Aigars"/>
    <x v="51"/>
    <s v="1:21:48"/>
    <x v="101"/>
  </r>
  <r>
    <x v="2"/>
    <s v="Bjalkoskis"/>
    <s v="Andris"/>
    <x v="55"/>
    <s v="1:05:22"/>
    <x v="113"/>
  </r>
  <r>
    <x v="3"/>
    <s v="Blūma"/>
    <s v="Emerita"/>
    <x v="56"/>
    <s v="1:23:19"/>
    <x v="7"/>
  </r>
  <r>
    <x v="5"/>
    <s v="Blumbergs"/>
    <s v="Jurģis"/>
    <x v="57"/>
    <s v="1:22:05"/>
    <x v="73"/>
  </r>
  <r>
    <x v="1"/>
    <s v="Blūms"/>
    <s v="Atis"/>
    <x v="1"/>
    <s v="1:24:29"/>
    <x v="108"/>
  </r>
  <r>
    <x v="2"/>
    <s v="Blūms"/>
    <s v="Dzintars"/>
    <x v="51"/>
    <s v="1:25:47"/>
    <x v="112"/>
  </r>
  <r>
    <x v="2"/>
    <s v="Bļinovs"/>
    <s v="Sergejs"/>
    <x v="58"/>
    <s v="1:00:15"/>
    <x v="114"/>
  </r>
  <r>
    <x v="10"/>
    <s v="Bļodnieks"/>
    <s v="Toms"/>
    <x v="1"/>
    <s v="1:39:06"/>
    <x v="48"/>
  </r>
  <r>
    <x v="5"/>
    <s v="Bļusis"/>
    <s v="Aivars"/>
    <x v="23"/>
    <s v="1:11:14"/>
    <x v="115"/>
  </r>
  <r>
    <x v="5"/>
    <s v="Bļusis"/>
    <s v="Modris"/>
    <x v="23"/>
    <s v="1:05:44"/>
    <x v="77"/>
  </r>
  <r>
    <x v="2"/>
    <s v="Bodnieks"/>
    <s v="Atvars"/>
    <x v="1"/>
    <s v="1:16:49"/>
    <x v="14"/>
  </r>
  <r>
    <x v="3"/>
    <s v="Boganova"/>
    <s v="Laura"/>
    <x v="1"/>
    <s v="1:44:30"/>
    <x v="27"/>
  </r>
  <r>
    <x v="2"/>
    <s v="Bogdanovičs"/>
    <s v="Māris"/>
    <x v="59"/>
    <s v="1:19:38"/>
    <x v="73"/>
  </r>
  <r>
    <x v="5"/>
    <s v="Bogdanovs"/>
    <s v="Aivars"/>
    <x v="60"/>
    <s v="1:05:24"/>
    <x v="116"/>
  </r>
  <r>
    <x v="5"/>
    <s v="Boldāns"/>
    <s v="Dzintars"/>
    <x v="61"/>
    <s v="1:15:59"/>
    <x v="45"/>
  </r>
  <r>
    <x v="1"/>
    <s v="Bomiks"/>
    <s v="Edgars"/>
    <x v="1"/>
    <s v="1:20:12"/>
    <x v="117"/>
  </r>
  <r>
    <x v="1"/>
    <s v="Bondars"/>
    <s v="Ģirts"/>
    <x v="62"/>
    <s v="1:23:02"/>
    <x v="51"/>
  </r>
  <r>
    <x v="1"/>
    <s v="Borisovs"/>
    <s v="Raivis"/>
    <x v="1"/>
    <s v="1:37:16"/>
    <x v="99"/>
  </r>
  <r>
    <x v="5"/>
    <s v="Borisovs"/>
    <s v="Oļegs"/>
    <x v="1"/>
    <s v="1:17:20"/>
    <x v="94"/>
  </r>
  <r>
    <x v="3"/>
    <s v="Boša"/>
    <s v="Vita"/>
    <x v="1"/>
    <s v="1:53:58"/>
    <x v="118"/>
  </r>
  <r>
    <x v="2"/>
    <s v="Bošs"/>
    <s v="Uldis"/>
    <x v="1"/>
    <s v="1:12:50"/>
    <x v="49"/>
  </r>
  <r>
    <x v="2"/>
    <s v="Bošs"/>
    <s v="Kristaps"/>
    <x v="1"/>
    <s v="1:21:47"/>
    <x v="101"/>
  </r>
  <r>
    <x v="2"/>
    <s v="Bowen"/>
    <s v="Edward"/>
    <x v="15"/>
    <s v="1:06:16"/>
    <x v="33"/>
  </r>
  <r>
    <x v="2"/>
    <s v="Brālis"/>
    <s v="Guntars"/>
    <x v="1"/>
    <s v="2:01:02"/>
    <x v="119"/>
  </r>
  <r>
    <x v="2"/>
    <s v="Branmbergs"/>
    <s v="Ludvigs"/>
    <x v="0"/>
    <s v="1:17:49"/>
    <x v="117"/>
  </r>
  <r>
    <x v="3"/>
    <s v="Brence"/>
    <s v="Zane"/>
    <x v="1"/>
    <s v="1:02:24"/>
    <x v="120"/>
  </r>
  <r>
    <x v="5"/>
    <s v="Bricis"/>
    <s v="Kalvis"/>
    <x v="1"/>
    <s v="1:21:24"/>
    <x v="107"/>
  </r>
  <r>
    <x v="0"/>
    <s v="Briede"/>
    <s v="Laura"/>
    <x v="10"/>
    <s v="1:48:42"/>
    <x v="121"/>
  </r>
  <r>
    <x v="2"/>
    <s v="Briedis"/>
    <s v="Kristaps"/>
    <x v="9"/>
    <s v="1:20:34"/>
    <x v="51"/>
  </r>
  <r>
    <x v="2"/>
    <s v="Briedis"/>
    <s v="Māris"/>
    <x v="9"/>
    <s v="1:24:08"/>
    <x v="122"/>
  </r>
  <r>
    <x v="2"/>
    <s v="Briedīts"/>
    <s v="Mārtiņš"/>
    <x v="1"/>
    <s v="1:11:04"/>
    <x v="123"/>
  </r>
  <r>
    <x v="3"/>
    <s v="Broka"/>
    <s v="Elīna"/>
    <x v="26"/>
    <s v="1:31:27"/>
    <x v="124"/>
  </r>
  <r>
    <x v="2"/>
    <s v="Broks"/>
    <s v="Māris"/>
    <x v="63"/>
    <s v="1:34:11"/>
    <x v="99"/>
  </r>
  <r>
    <x v="2"/>
    <s v="Broks"/>
    <s v="Aivars"/>
    <x v="26"/>
    <s v="1:33:04"/>
    <x v="89"/>
  </r>
  <r>
    <x v="3"/>
    <s v="Brūvele"/>
    <s v="Arita"/>
    <x v="1"/>
    <s v="1:48:52"/>
    <x v="23"/>
  </r>
  <r>
    <x v="2"/>
    <s v="Brūvelis"/>
    <s v="Guntars"/>
    <x v="1"/>
    <s v="1:35:10"/>
    <x v="47"/>
  </r>
  <r>
    <x v="2"/>
    <s v="Bružis"/>
    <s v="Renārs"/>
    <x v="9"/>
    <s v="1:08:33"/>
    <x v="29"/>
  </r>
  <r>
    <x v="1"/>
    <s v="Builis"/>
    <s v="Dainis"/>
    <x v="64"/>
    <s v="1:16:29"/>
    <x v="111"/>
  </r>
  <r>
    <x v="2"/>
    <s v="Buivids"/>
    <s v="Oskars"/>
    <x v="65"/>
    <s v="1:11:12"/>
    <x v="83"/>
  </r>
  <r>
    <x v="14"/>
    <s v="Bukavs"/>
    <s v="Ziedonis"/>
    <x v="1"/>
    <s v="1:30:13"/>
    <x v="24"/>
  </r>
  <r>
    <x v="1"/>
    <s v="Bukins"/>
    <s v="Jānis"/>
    <x v="66"/>
    <s v="1:16:53"/>
    <x v="125"/>
  </r>
  <r>
    <x v="1"/>
    <s v="Bukovskis"/>
    <s v="Gints"/>
    <x v="1"/>
    <s v="1:13:35"/>
    <x v="40"/>
  </r>
  <r>
    <x v="2"/>
    <s v="Buks"/>
    <s v="Mintauts"/>
    <x v="67"/>
    <s v="1:28:49"/>
    <x v="25"/>
  </r>
  <r>
    <x v="2"/>
    <s v="Buķis"/>
    <s v="Agris"/>
    <x v="51"/>
    <s v="1:25:40"/>
    <x v="58"/>
  </r>
  <r>
    <x v="2"/>
    <s v="Buliga"/>
    <s v="Rihards"/>
    <x v="14"/>
    <s v="0:57:54"/>
    <x v="126"/>
  </r>
  <r>
    <x v="12"/>
    <s v="Bumbulis"/>
    <s v="Aivars"/>
    <x v="68"/>
    <s v="1:40:26"/>
    <x v="127"/>
  </r>
  <r>
    <x v="2"/>
    <s v="Bumbulis"/>
    <s v="Kristaps"/>
    <x v="68"/>
    <s v="1:19:32"/>
    <x v="85"/>
  </r>
  <r>
    <x v="3"/>
    <s v="Bundze"/>
    <s v="Ginta"/>
    <x v="0"/>
    <s v="1:15:39"/>
    <x v="1"/>
  </r>
  <r>
    <x v="1"/>
    <s v="Bundzenieks"/>
    <s v="Guntis"/>
    <x v="62"/>
    <s v="1:12:01"/>
    <x v="128"/>
  </r>
  <r>
    <x v="3"/>
    <s v="Bunga Loce"/>
    <s v="Eva"/>
    <x v="22"/>
    <s v="2:21:38"/>
    <x v="129"/>
  </r>
  <r>
    <x v="17"/>
    <s v="Bungše"/>
    <s v="Vizma"/>
    <x v="50"/>
    <s v="2:53:57"/>
    <x v="130"/>
  </r>
  <r>
    <x v="2"/>
    <s v="Būris"/>
    <s v="Aivars"/>
    <x v="51"/>
    <s v="1:07:17"/>
    <x v="131"/>
  </r>
  <r>
    <x v="18"/>
    <s v="Burka       "/>
    <s v="Anete"/>
    <x v="69"/>
    <s v="1:40:58"/>
    <x v="132"/>
  </r>
  <r>
    <x v="2"/>
    <s v="Burkevičs"/>
    <s v="Kalvis"/>
    <x v="40"/>
    <s v="1:47:48"/>
    <x v="13"/>
  </r>
  <r>
    <x v="4"/>
    <s v="Butauts"/>
    <s v="Linards"/>
    <x v="70"/>
    <s v="1:09:59"/>
    <x v="54"/>
  </r>
  <r>
    <x v="13"/>
    <s v="Caune"/>
    <s v="Gatis"/>
    <x v="55"/>
    <s v="1:25:00"/>
    <x v="3"/>
  </r>
  <r>
    <x v="14"/>
    <s v="Caune"/>
    <s v="Vismants"/>
    <x v="55"/>
    <s v="1:17:51"/>
    <x v="1"/>
  </r>
  <r>
    <x v="3"/>
    <s v="Caune"/>
    <s v="Daina"/>
    <x v="55"/>
    <s v="1:36:47"/>
    <x v="60"/>
  </r>
  <r>
    <x v="3"/>
    <s v="Caune-Morzik"/>
    <s v="Baiba"/>
    <x v="55"/>
    <s v="1:36:15"/>
    <x v="59"/>
  </r>
  <r>
    <x v="1"/>
    <s v="Celms"/>
    <s v="Kristaps"/>
    <x v="15"/>
    <s v="0:59:36"/>
    <x v="126"/>
  </r>
  <r>
    <x v="14"/>
    <s v="Celms"/>
    <s v="Kristaps"/>
    <x v="30"/>
    <s v="1:19:31"/>
    <x v="98"/>
  </r>
  <r>
    <x v="0"/>
    <s v="Ceplīte"/>
    <s v="Ina"/>
    <x v="1"/>
    <s v="2:06:41"/>
    <x v="133"/>
  </r>
  <r>
    <x v="2"/>
    <s v="Cepurītis"/>
    <s v="Rolands"/>
    <x v="1"/>
    <s v="1:27:44"/>
    <x v="24"/>
  </r>
  <r>
    <x v="3"/>
    <s v="Cera"/>
    <s v="Lienīte"/>
    <x v="1"/>
    <s v="1:40:30"/>
    <x v="134"/>
  </r>
  <r>
    <x v="3"/>
    <s v="Cera"/>
    <s v="Zane"/>
    <x v="1"/>
    <s v="1:38:40"/>
    <x v="135"/>
  </r>
  <r>
    <x v="3"/>
    <s v="Cera"/>
    <s v="Elīna"/>
    <x v="71"/>
    <s v="1:50:59"/>
    <x v="72"/>
  </r>
  <r>
    <x v="3"/>
    <s v="Cera"/>
    <s v="Ilze"/>
    <x v="71"/>
    <s v="1:49:55"/>
    <x v="136"/>
  </r>
  <r>
    <x v="2"/>
    <s v="Cers"/>
    <s v="Toms"/>
    <x v="1"/>
    <s v="1:50:08"/>
    <x v="137"/>
  </r>
  <r>
    <x v="2"/>
    <s v="Cers"/>
    <s v="Jānis"/>
    <x v="1"/>
    <s v="1:40:30"/>
    <x v="134"/>
  </r>
  <r>
    <x v="2"/>
    <s v="Cers"/>
    <s v="Egils"/>
    <x v="1"/>
    <s v="1:38:45"/>
    <x v="135"/>
  </r>
  <r>
    <x v="2"/>
    <s v="Cers"/>
    <s v="Edgars"/>
    <x v="1"/>
    <s v="1:32:10"/>
    <x v="138"/>
  </r>
  <r>
    <x v="1"/>
    <s v="Cers"/>
    <s v="Edgars"/>
    <x v="1"/>
    <s v="1:19:07"/>
    <x v="14"/>
  </r>
  <r>
    <x v="2"/>
    <s v="Cers"/>
    <s v="Aigars"/>
    <x v="71"/>
    <s v="1:50:04"/>
    <x v="137"/>
  </r>
  <r>
    <x v="2"/>
    <s v="Ciaguns"/>
    <s v="Ivars"/>
    <x v="72"/>
    <s v="0:57:42"/>
    <x v="139"/>
  </r>
  <r>
    <x v="2"/>
    <s v="Cikmačs"/>
    <s v="Kaspars"/>
    <x v="50"/>
    <s v="1:30:15"/>
    <x v="140"/>
  </r>
  <r>
    <x v="13"/>
    <s v="Cimdiņš"/>
    <s v="Osvalds"/>
    <x v="0"/>
    <s v="2:01:04"/>
    <x v="141"/>
  </r>
  <r>
    <x v="5"/>
    <s v="Cimdiņš"/>
    <s v="Aldis"/>
    <x v="0"/>
    <s v="2:01:22"/>
    <x v="142"/>
  </r>
  <r>
    <x v="15"/>
    <s v="Cimermanis"/>
    <s v="Oskars"/>
    <x v="40"/>
    <s v="1:03:45"/>
    <x v="6"/>
  </r>
  <r>
    <x v="2"/>
    <s v="Cīmurs"/>
    <s v="Jānis"/>
    <x v="1"/>
    <s v="1:07:13"/>
    <x v="131"/>
  </r>
  <r>
    <x v="1"/>
    <s v="Cipe"/>
    <s v="Raimonds"/>
    <x v="73"/>
    <s v="1:20:11"/>
    <x v="117"/>
  </r>
  <r>
    <x v="1"/>
    <s v="Cipulis"/>
    <s v="Guntars"/>
    <x v="0"/>
    <s v="1:25:22"/>
    <x v="143"/>
  </r>
  <r>
    <x v="5"/>
    <s v="Circāns"/>
    <s v="Pēteris"/>
    <x v="1"/>
    <s v="1:54:02"/>
    <x v="72"/>
  </r>
  <r>
    <x v="3"/>
    <s v="Circene"/>
    <s v="Jeļena"/>
    <x v="1"/>
    <s v="1:27:42"/>
    <x v="24"/>
  </r>
  <r>
    <x v="3"/>
    <s v="Cīrule"/>
    <s v="Ilze"/>
    <x v="1"/>
    <s v="1:48:43"/>
    <x v="144"/>
  </r>
  <r>
    <x v="16"/>
    <s v="Cīrule"/>
    <s v="Zane"/>
    <x v="13"/>
    <s v="1:23:10"/>
    <x v="4"/>
  </r>
  <r>
    <x v="2"/>
    <s v="Cīrulis"/>
    <s v="Māris"/>
    <x v="74"/>
    <s v="1:10:14"/>
    <x v="128"/>
  </r>
  <r>
    <x v="2"/>
    <s v="Cīrulis"/>
    <s v="Aldis"/>
    <x v="75"/>
    <s v="1:02:21"/>
    <x v="120"/>
  </r>
  <r>
    <x v="4"/>
    <s v="Cīrulis"/>
    <s v="Ivo"/>
    <x v="1"/>
    <s v="1:46:28"/>
    <x v="69"/>
  </r>
  <r>
    <x v="5"/>
    <s v="Cīrulis"/>
    <s v="Gints"/>
    <x v="1"/>
    <s v="1:16:02"/>
    <x v="45"/>
  </r>
  <r>
    <x v="2"/>
    <s v="Cīrulis"/>
    <s v="Mārtiņš"/>
    <x v="1"/>
    <s v="1:04:23"/>
    <x v="44"/>
  </r>
  <r>
    <x v="2"/>
    <s v="Cirvelis"/>
    <s v="Toms"/>
    <x v="0"/>
    <s v="1:30:45"/>
    <x v="34"/>
  </r>
  <r>
    <x v="2"/>
    <s v="Citskovskis"/>
    <s v="Jānis"/>
    <x v="0"/>
    <s v="1:31:59"/>
    <x v="145"/>
  </r>
  <r>
    <x v="2"/>
    <s v="Čavars"/>
    <s v="Aivars"/>
    <x v="76"/>
    <s v="1:09:30"/>
    <x v="78"/>
  </r>
  <r>
    <x v="2"/>
    <s v="Čeksteris"/>
    <s v="Mārtiņš"/>
    <x v="54"/>
    <s v="1:41:52"/>
    <x v="52"/>
  </r>
  <r>
    <x v="5"/>
    <s v="Čeksters"/>
    <s v="Valdis"/>
    <x v="1"/>
    <s v="1:21:53"/>
    <x v="73"/>
  </r>
  <r>
    <x v="3"/>
    <s v="Čerņavska"/>
    <s v="Linda"/>
    <x v="0"/>
    <s v="1:50:00"/>
    <x v="137"/>
  </r>
  <r>
    <x v="3"/>
    <s v="Čiekure"/>
    <s v="Līva"/>
    <x v="1"/>
    <s v="1:45:22"/>
    <x v="146"/>
  </r>
  <r>
    <x v="2"/>
    <s v="Čiekurs"/>
    <s v="Ralfs"/>
    <x v="1"/>
    <s v="1:43:01"/>
    <x v="66"/>
  </r>
  <r>
    <x v="2"/>
    <s v="Čigurs"/>
    <s v="Reinis"/>
    <x v="77"/>
    <s v="1:21:03"/>
    <x v="4"/>
  </r>
  <r>
    <x v="1"/>
    <s v="Čipots"/>
    <s v="Kaspars"/>
    <x v="1"/>
    <s v="1:23:13"/>
    <x v="4"/>
  </r>
  <r>
    <x v="2"/>
    <s v="Čiževskis"/>
    <s v="Aleksejs"/>
    <x v="41"/>
    <s v="1:12:40"/>
    <x v="49"/>
  </r>
  <r>
    <x v="0"/>
    <s v="Čūdere"/>
    <s v="Dace"/>
    <x v="1"/>
    <s v="1:51:42"/>
    <x v="144"/>
  </r>
  <r>
    <x v="3"/>
    <s v="Čukure"/>
    <s v="Guntra"/>
    <x v="78"/>
    <s v="1:26:14"/>
    <x v="147"/>
  </r>
  <r>
    <x v="5"/>
    <s v="Čukurs"/>
    <s v="Uldis"/>
    <x v="78"/>
    <s v="1:06:25"/>
    <x v="148"/>
  </r>
  <r>
    <x v="0"/>
    <s v="Čuņčule"/>
    <s v="Diāna"/>
    <x v="9"/>
    <s v="2:04:11"/>
    <x v="119"/>
  </r>
  <r>
    <x v="3"/>
    <s v="Dābola"/>
    <s v="Daiga"/>
    <x v="74"/>
    <s v="1:41:15"/>
    <x v="15"/>
  </r>
  <r>
    <x v="5"/>
    <s v="Daģis"/>
    <s v="Guntars"/>
    <x v="1"/>
    <s v="1:17:30"/>
    <x v="71"/>
  </r>
  <r>
    <x v="11"/>
    <s v="Dainis"/>
    <s v="Andris"/>
    <x v="13"/>
    <s v="1:47:21"/>
    <x v="149"/>
  </r>
  <r>
    <x v="13"/>
    <s v="Dakteris"/>
    <s v="Jānis"/>
    <x v="79"/>
    <s v="1:11:56"/>
    <x v="150"/>
  </r>
  <r>
    <x v="13"/>
    <s v="Dakteris"/>
    <s v="Jānis"/>
    <x v="79"/>
    <s v="1:18:39"/>
    <x v="151"/>
  </r>
  <r>
    <x v="2"/>
    <s v="Daktiņš"/>
    <s v="Edgars"/>
    <x v="50"/>
    <s v="1:14:10"/>
    <x v="152"/>
  </r>
  <r>
    <x v="2"/>
    <s v="Dalderis"/>
    <s v="Raimonds"/>
    <x v="1"/>
    <s v="1:11:15"/>
    <x v="83"/>
  </r>
  <r>
    <x v="2"/>
    <s v="Dambekalns"/>
    <s v="Valdemārs"/>
    <x v="0"/>
    <s v="1:21:12"/>
    <x v="8"/>
  </r>
  <r>
    <x v="3"/>
    <s v="Dambeniece"/>
    <s v="Ivita"/>
    <x v="51"/>
    <s v="1:27:24"/>
    <x v="153"/>
  </r>
  <r>
    <x v="2"/>
    <s v="Dambenieks"/>
    <s v="Dainis"/>
    <x v="51"/>
    <s v="1:36:25"/>
    <x v="154"/>
  </r>
  <r>
    <x v="2"/>
    <s v="Dambinieks"/>
    <s v="Artūrs"/>
    <x v="0"/>
    <s v="1:13:51"/>
    <x v="45"/>
  </r>
  <r>
    <x v="3"/>
    <s v="Daniļina"/>
    <s v="Jūlija"/>
    <x v="0"/>
    <s v="1:32:30"/>
    <x v="138"/>
  </r>
  <r>
    <x v="1"/>
    <s v="Dannebergs"/>
    <s v="Ivars"/>
    <x v="1"/>
    <s v="1:13:48"/>
    <x v="92"/>
  </r>
  <r>
    <x v="3"/>
    <s v="Daņiļeviča"/>
    <s v="Katrīna"/>
    <x v="80"/>
    <s v="1:40:34"/>
    <x v="134"/>
  </r>
  <r>
    <x v="1"/>
    <s v="Dasko"/>
    <s v="Jevgēnijs"/>
    <x v="11"/>
    <s v="1:06:41"/>
    <x v="155"/>
  </r>
  <r>
    <x v="2"/>
    <s v="Daugaviņš"/>
    <s v="Kristaps"/>
    <x v="81"/>
    <s v="1:14:11"/>
    <x v="152"/>
  </r>
  <r>
    <x v="3"/>
    <s v="Daugule"/>
    <s v="Baiba"/>
    <x v="50"/>
    <s v="1:47:26"/>
    <x v="156"/>
  </r>
  <r>
    <x v="2"/>
    <s v="Dauksts"/>
    <s v="Kaspars"/>
    <x v="51"/>
    <s v="1:24:10"/>
    <x v="122"/>
  </r>
  <r>
    <x v="3"/>
    <s v="Deičmane"/>
    <s v="Indra"/>
    <x v="54"/>
    <s v="1:49:08"/>
    <x v="23"/>
  </r>
  <r>
    <x v="2"/>
    <s v="Deičmanis"/>
    <s v="Ēriks"/>
    <x v="54"/>
    <s v="1:16:33"/>
    <x v="151"/>
  </r>
  <r>
    <x v="2"/>
    <s v="Deičmanis"/>
    <s v="Rihards"/>
    <x v="54"/>
    <s v="1:29:00"/>
    <x v="70"/>
  </r>
  <r>
    <x v="2"/>
    <s v="Deksnis"/>
    <s v="Jānis"/>
    <x v="1"/>
    <s v="1:18:50"/>
    <x v="79"/>
  </r>
  <r>
    <x v="2"/>
    <s v="Delle"/>
    <s v="Tomass"/>
    <x v="50"/>
    <s v="1:17:02"/>
    <x v="157"/>
  </r>
  <r>
    <x v="3"/>
    <s v="Deniņa"/>
    <s v="Arta"/>
    <x v="51"/>
    <s v="1:45:14"/>
    <x v="146"/>
  </r>
  <r>
    <x v="16"/>
    <s v="Dergača"/>
    <s v="Viktorija"/>
    <x v="52"/>
    <s v="1:20:57"/>
    <x v="79"/>
  </r>
  <r>
    <x v="1"/>
    <s v="Derrings"/>
    <s v="Renārs"/>
    <x v="1"/>
    <s v="1:15:51"/>
    <x v="45"/>
  </r>
  <r>
    <x v="2"/>
    <s v="Detlavs"/>
    <s v="Gatis"/>
    <x v="74"/>
    <s v="1:05:56"/>
    <x v="56"/>
  </r>
  <r>
    <x v="2"/>
    <s v="Detlavs"/>
    <s v="Jānis"/>
    <x v="74"/>
    <s v="1:35:23"/>
    <x v="47"/>
  </r>
  <r>
    <x v="2"/>
    <s v="Dievkociņš"/>
    <s v="Modris"/>
    <x v="56"/>
    <s v="1:22:25"/>
    <x v="3"/>
  </r>
  <r>
    <x v="5"/>
    <s v="Dillon"/>
    <s v="David"/>
    <x v="82"/>
    <s v="1:20:16"/>
    <x v="117"/>
  </r>
  <r>
    <x v="8"/>
    <s v="Dimza"/>
    <s v="Kārlis"/>
    <x v="83"/>
    <s v="1:38:59"/>
    <x v="28"/>
  </r>
  <r>
    <x v="1"/>
    <s v="Dmitrijevs"/>
    <s v="Andris"/>
    <x v="21"/>
    <s v="1:05:49"/>
    <x v="77"/>
  </r>
  <r>
    <x v="3"/>
    <s v="Dombrovska"/>
    <s v="Jelena"/>
    <x v="1"/>
    <s v="1:17:51"/>
    <x v="117"/>
  </r>
  <r>
    <x v="2"/>
    <s v="Dombrovskis"/>
    <s v="Mareks"/>
    <x v="1"/>
    <s v="1:17:36"/>
    <x v="26"/>
  </r>
  <r>
    <x v="12"/>
    <s v="Donalds"/>
    <s v="Vasilis"/>
    <x v="84"/>
    <s v="1:38:55"/>
    <x v="28"/>
  </r>
  <r>
    <x v="2"/>
    <s v="Dorošs"/>
    <s v="Vadims"/>
    <x v="85"/>
    <s v="1:05:40"/>
    <x v="158"/>
  </r>
  <r>
    <x v="14"/>
    <s v="Dragels"/>
    <s v="Boriss"/>
    <x v="1"/>
    <s v="1:59:53"/>
    <x v="159"/>
  </r>
  <r>
    <x v="1"/>
    <s v="Draugs"/>
    <s v="Roberts"/>
    <x v="35"/>
    <s v="1:00:53"/>
    <x v="160"/>
  </r>
  <r>
    <x v="5"/>
    <s v="Dravants"/>
    <s v="Andis"/>
    <x v="26"/>
    <s v="1:19:56"/>
    <x v="26"/>
  </r>
  <r>
    <x v="6"/>
    <s v="Dravnieks"/>
    <s v="Guntis"/>
    <x v="86"/>
    <s v="1:18:54"/>
    <x v="14"/>
  </r>
  <r>
    <x v="3"/>
    <s v="Droškina"/>
    <s v="Jūlija"/>
    <x v="1"/>
    <s v="1:36:29"/>
    <x v="154"/>
  </r>
  <r>
    <x v="5"/>
    <s v="Drozdovs"/>
    <s v="Igors"/>
    <x v="87"/>
    <s v="1:16:02"/>
    <x v="45"/>
  </r>
  <r>
    <x v="2"/>
    <s v="Drozdovs"/>
    <s v="Pāvels"/>
    <x v="87"/>
    <s v="1:03:38"/>
    <x v="116"/>
  </r>
  <r>
    <x v="3"/>
    <s v="Dundure"/>
    <s v="Indra"/>
    <x v="88"/>
    <s v="1:33:56"/>
    <x v="161"/>
  </r>
  <r>
    <x v="3"/>
    <s v="Dundure"/>
    <s v="Lienīte"/>
    <x v="1"/>
    <s v="2:20:16"/>
    <x v="106"/>
  </r>
  <r>
    <x v="1"/>
    <s v="Dzalbs"/>
    <s v="Gunārs"/>
    <x v="89"/>
    <s v="1:01:03"/>
    <x v="63"/>
  </r>
  <r>
    <x v="2"/>
    <s v="Dzirnieks"/>
    <s v="Oskars"/>
    <x v="90"/>
    <s v="1:21:00"/>
    <x v="4"/>
  </r>
  <r>
    <x v="2"/>
    <s v="Dzirnieks"/>
    <s v="Juris"/>
    <x v="91"/>
    <s v="1:07:58"/>
    <x v="54"/>
  </r>
  <r>
    <x v="1"/>
    <s v="Dzirvinskis"/>
    <s v="Gintars"/>
    <x v="1"/>
    <s v="1:13:56"/>
    <x v="92"/>
  </r>
  <r>
    <x v="15"/>
    <s v="Dzīvītis"/>
    <s v="Kristaps"/>
    <x v="92"/>
    <s v="1:13:26"/>
    <x v="83"/>
  </r>
  <r>
    <x v="2"/>
    <s v="Dzīvītis"/>
    <s v="Ainārs"/>
    <x v="92"/>
    <s v="1:12:05"/>
    <x v="39"/>
  </r>
  <r>
    <x v="2"/>
    <s v="Dzīvītis"/>
    <s v="Jānis"/>
    <x v="92"/>
    <s v="1:13:32"/>
    <x v="17"/>
  </r>
  <r>
    <x v="5"/>
    <s v="Eglīte"/>
    <s v="Raimonds"/>
    <x v="93"/>
    <s v="1:20:11"/>
    <x v="117"/>
  </r>
  <r>
    <x v="3"/>
    <s v="Eglīte"/>
    <s v="Ligita"/>
    <x v="1"/>
    <s v="1:19:22"/>
    <x v="85"/>
  </r>
  <r>
    <x v="2"/>
    <s v="Eglītis"/>
    <s v="Ģirts"/>
    <x v="0"/>
    <s v="1:16:28"/>
    <x v="151"/>
  </r>
  <r>
    <x v="2"/>
    <s v="Eglītis"/>
    <s v="Kārlis"/>
    <x v="1"/>
    <s v="1:08:06"/>
    <x v="54"/>
  </r>
  <r>
    <x v="0"/>
    <s v="Eiduka"/>
    <s v="Ivanda"/>
    <x v="40"/>
    <s v="1:10:00"/>
    <x v="54"/>
  </r>
  <r>
    <x v="1"/>
    <s v="Eiduks"/>
    <s v="Osvalds"/>
    <x v="40"/>
    <s v="1:15:23"/>
    <x v="93"/>
  </r>
  <r>
    <x v="2"/>
    <s v="Eiduks"/>
    <s v="Jānis"/>
    <x v="1"/>
    <s v="1:09:57"/>
    <x v="150"/>
  </r>
  <r>
    <x v="4"/>
    <s v="Eislers"/>
    <s v="Ingus"/>
    <x v="94"/>
    <s v="1:01:10"/>
    <x v="63"/>
  </r>
  <r>
    <x v="13"/>
    <s v="Eislers"/>
    <s v="Sandis"/>
    <x v="95"/>
    <s v="1:15:47"/>
    <x v="17"/>
  </r>
  <r>
    <x v="5"/>
    <s v="Eliass"/>
    <s v="Ģirts"/>
    <x v="1"/>
    <s v="1:15:57"/>
    <x v="45"/>
  </r>
  <r>
    <x v="2"/>
    <s v="Elksnīts"/>
    <s v="Vilnis"/>
    <x v="1"/>
    <s v="1:35:31"/>
    <x v="30"/>
  </r>
  <r>
    <x v="2"/>
    <s v="Elsons"/>
    <s v="Lauris"/>
    <x v="96"/>
    <s v="1:42:03"/>
    <x v="103"/>
  </r>
  <r>
    <x v="2"/>
    <s v="Elsons"/>
    <s v="Einārs"/>
    <x v="96"/>
    <s v="1:42:04"/>
    <x v="103"/>
  </r>
  <r>
    <x v="2"/>
    <s v="Empelis"/>
    <s v="Edijs"/>
    <x v="97"/>
    <s v="1:13:28"/>
    <x v="17"/>
  </r>
  <r>
    <x v="1"/>
    <s v="Ennītis"/>
    <s v="Jānis"/>
    <x v="98"/>
    <s v="1:25:11"/>
    <x v="143"/>
  </r>
  <r>
    <x v="3"/>
    <s v="Erdmane"/>
    <s v="Gunta"/>
    <x v="1"/>
    <s v="1:20:05"/>
    <x v="162"/>
  </r>
  <r>
    <x v="2"/>
    <s v="Ērglis"/>
    <s v="Ilmārs"/>
    <x v="1"/>
    <s v="1:45:38"/>
    <x v="121"/>
  </r>
  <r>
    <x v="5"/>
    <s v="Eriņš"/>
    <s v="Aigars"/>
    <x v="1"/>
    <s v="1:10:41"/>
    <x v="20"/>
  </r>
  <r>
    <x v="2"/>
    <s v="Eriņš"/>
    <s v="Rihards"/>
    <x v="1"/>
    <s v="1:45:19"/>
    <x v="146"/>
  </r>
  <r>
    <x v="5"/>
    <s v="Ērmanis"/>
    <s v="Māris"/>
    <x v="0"/>
    <s v="1:30:54"/>
    <x v="87"/>
  </r>
  <r>
    <x v="12"/>
    <s v="Ermansons"/>
    <s v="Ingmārs"/>
    <x v="1"/>
    <s v="1:39:32"/>
    <x v="163"/>
  </r>
  <r>
    <x v="1"/>
    <s v="Ermiņš"/>
    <s v="Dzintars"/>
    <x v="50"/>
    <s v="1:31:07"/>
    <x v="87"/>
  </r>
  <r>
    <x v="1"/>
    <s v="Fedosjonoks"/>
    <s v="Renārs"/>
    <x v="1"/>
    <s v="1:19:34"/>
    <x v="98"/>
  </r>
  <r>
    <x v="9"/>
    <s v="Fedotovs"/>
    <s v="Mihails"/>
    <x v="30"/>
    <s v="1:41:54"/>
    <x v="164"/>
  </r>
  <r>
    <x v="2"/>
    <s v="Fels"/>
    <s v="Ivars"/>
    <x v="3"/>
    <s v="1:42:55"/>
    <x v="80"/>
  </r>
  <r>
    <x v="3"/>
    <s v="Felsa"/>
    <s v="Marta"/>
    <x v="1"/>
    <s v="1:42:54"/>
    <x v="80"/>
  </r>
  <r>
    <x v="2"/>
    <s v="Filipsons"/>
    <s v="Jānis"/>
    <x v="1"/>
    <s v="1:06:40"/>
    <x v="31"/>
  </r>
  <r>
    <x v="3"/>
    <s v="Finartija"/>
    <s v="Inita"/>
    <x v="99"/>
    <s v="1:36:43"/>
    <x v="154"/>
  </r>
  <r>
    <x v="2"/>
    <s v="Finartijs"/>
    <s v="Andis"/>
    <x v="100"/>
    <s v="1:17:33"/>
    <x v="26"/>
  </r>
  <r>
    <x v="13"/>
    <s v="Flaksis"/>
    <s v="Andžs"/>
    <x v="70"/>
    <s v="1:55:29"/>
    <x v="32"/>
  </r>
  <r>
    <x v="9"/>
    <s v="Flaksis"/>
    <s v="Mārtiņš"/>
    <x v="70"/>
    <s v="1:50:51"/>
    <x v="165"/>
  </r>
  <r>
    <x v="2"/>
    <s v="Fogelis"/>
    <s v="Einars"/>
    <x v="10"/>
    <s v="1:11:55"/>
    <x v="92"/>
  </r>
  <r>
    <x v="2"/>
    <s v="Fogels"/>
    <s v="Edmunds"/>
    <x v="51"/>
    <s v="1:17:16"/>
    <x v="98"/>
  </r>
  <r>
    <x v="2"/>
    <s v="Fogels"/>
    <s v="Emīls"/>
    <x v="51"/>
    <s v="1:34:57"/>
    <x v="67"/>
  </r>
  <r>
    <x v="3"/>
    <s v="Fomina"/>
    <s v="Asnate"/>
    <x v="0"/>
    <s v="1:39:11"/>
    <x v="16"/>
  </r>
  <r>
    <x v="2"/>
    <s v="Fomins"/>
    <s v="Davids"/>
    <x v="78"/>
    <s v="1:42:28"/>
    <x v="80"/>
  </r>
  <r>
    <x v="0"/>
    <s v="Freda"/>
    <s v="Maija"/>
    <x v="57"/>
    <s v="1:19:57"/>
    <x v="26"/>
  </r>
  <r>
    <x v="1"/>
    <s v="Frejs"/>
    <s v="Āris"/>
    <x v="50"/>
    <s v="1:13:27"/>
    <x v="83"/>
  </r>
  <r>
    <x v="8"/>
    <s v="Frīdenbergs"/>
    <s v="Kalvis"/>
    <x v="69"/>
    <s v="1:39:44"/>
    <x v="166"/>
  </r>
  <r>
    <x v="15"/>
    <s v="Fridrihsons"/>
    <s v="Reinis"/>
    <x v="1"/>
    <s v="1:19:10"/>
    <x v="157"/>
  </r>
  <r>
    <x v="1"/>
    <s v="Frišfelds"/>
    <s v="Vilnis"/>
    <x v="1"/>
    <s v="1:18:41"/>
    <x v="151"/>
  </r>
  <r>
    <x v="0"/>
    <s v="Fūrmane"/>
    <s v="Dace"/>
    <x v="101"/>
    <s v="1:13:34"/>
    <x v="40"/>
  </r>
  <r>
    <x v="1"/>
    <s v="Fūrmanis"/>
    <s v="Māris"/>
    <x v="101"/>
    <s v="1:06:12"/>
    <x v="44"/>
  </r>
  <r>
    <x v="3"/>
    <s v="Gabrāne"/>
    <s v="Līga"/>
    <x v="1"/>
    <s v="1:58:31"/>
    <x v="142"/>
  </r>
  <r>
    <x v="1"/>
    <s v="Gagainis"/>
    <s v="Māris"/>
    <x v="24"/>
    <s v="1:11:51"/>
    <x v="150"/>
  </r>
  <r>
    <x v="2"/>
    <s v="Gailis"/>
    <s v="Emīls"/>
    <x v="0"/>
    <s v="1:22:10"/>
    <x v="108"/>
  </r>
  <r>
    <x v="1"/>
    <s v="Gailis"/>
    <s v="Andis"/>
    <x v="1"/>
    <s v="1:16:02"/>
    <x v="45"/>
  </r>
  <r>
    <x v="4"/>
    <s v="Gailītis"/>
    <s v="Rihards"/>
    <x v="102"/>
    <s v="1:13:50"/>
    <x v="92"/>
  </r>
  <r>
    <x v="5"/>
    <s v="Gailītis"/>
    <s v="Raitis"/>
    <x v="102"/>
    <s v="1:43:29"/>
    <x v="134"/>
  </r>
  <r>
    <x v="7"/>
    <s v="Gailums"/>
    <s v="Jānis"/>
    <x v="1"/>
    <s v="2:14:38"/>
    <x v="56"/>
  </r>
  <r>
    <x v="2"/>
    <s v="Galejs"/>
    <s v="Aivars"/>
    <x v="1"/>
    <s v="1:02:44"/>
    <x v="167"/>
  </r>
  <r>
    <x v="2"/>
    <s v="Galinauskas"/>
    <s v="Vitautas"/>
    <x v="40"/>
    <s v="1:02:34"/>
    <x v="43"/>
  </r>
  <r>
    <x v="2"/>
    <s v="Gaļinovskis"/>
    <s v="Mareks"/>
    <x v="0"/>
    <s v="1:18:17"/>
    <x v="84"/>
  </r>
  <r>
    <x v="6"/>
    <s v="Garenčiks"/>
    <s v="Raimonds"/>
    <x v="103"/>
    <s v="1:17:13"/>
    <x v="94"/>
  </r>
  <r>
    <x v="4"/>
    <s v="Garkalns"/>
    <s v="Mārtiņš"/>
    <x v="1"/>
    <s v="1:46:58"/>
    <x v="168"/>
  </r>
  <r>
    <x v="16"/>
    <s v="Gasūna"/>
    <s v="Lelde"/>
    <x v="104"/>
    <s v="1:21:04"/>
    <x v="79"/>
  </r>
  <r>
    <x v="3"/>
    <s v="Gatere"/>
    <s v="Katrīna"/>
    <x v="105"/>
    <s v="1:46:38"/>
    <x v="109"/>
  </r>
  <r>
    <x v="2"/>
    <s v="Gauja"/>
    <s v="Uģis"/>
    <x v="106"/>
    <s v="1:10:50"/>
    <x v="169"/>
  </r>
  <r>
    <x v="3"/>
    <s v="Gavare"/>
    <s v="Maira"/>
    <x v="10"/>
    <s v="1:52:21"/>
    <x v="170"/>
  </r>
  <r>
    <x v="3"/>
    <s v="Gavare"/>
    <s v="Elīna"/>
    <x v="0"/>
    <s v="2:03:53"/>
    <x v="18"/>
  </r>
  <r>
    <x v="3"/>
    <s v="Gavare"/>
    <s v="Džineta"/>
    <x v="0"/>
    <s v="1:59:22"/>
    <x v="0"/>
  </r>
  <r>
    <x v="2"/>
    <s v="Gavars"/>
    <s v="Jānis"/>
    <x v="0"/>
    <s v="2:04:28"/>
    <x v="171"/>
  </r>
  <r>
    <x v="2"/>
    <s v="Gavars"/>
    <s v="Valdis"/>
    <x v="0"/>
    <s v="1:59:15"/>
    <x v="172"/>
  </r>
  <r>
    <x v="5"/>
    <s v="Gavars"/>
    <s v="Aldis"/>
    <x v="10"/>
    <s v="1:32:01"/>
    <x v="76"/>
  </r>
  <r>
    <x v="12"/>
    <s v="Gāze"/>
    <s v="Harijs"/>
    <x v="30"/>
    <s v="1:39:04"/>
    <x v="28"/>
  </r>
  <r>
    <x v="3"/>
    <s v="Gedrovica"/>
    <s v="Anda"/>
    <x v="1"/>
    <s v="1:25:12"/>
    <x v="130"/>
  </r>
  <r>
    <x v="5"/>
    <s v="Gedrovics"/>
    <s v="Ārijs"/>
    <x v="1"/>
    <s v="1:19:10"/>
    <x v="157"/>
  </r>
  <r>
    <x v="5"/>
    <s v="Gedrovics"/>
    <s v="Ainārs"/>
    <x v="1"/>
    <s v="1:30:32"/>
    <x v="62"/>
  </r>
  <r>
    <x v="3"/>
    <s v="Geduša"/>
    <s v="Ēvija"/>
    <x v="20"/>
    <s v="1:31:54"/>
    <x v="145"/>
  </r>
  <r>
    <x v="2"/>
    <s v="Gedušs"/>
    <s v="Valdis"/>
    <x v="20"/>
    <s v="1:33:39"/>
    <x v="173"/>
  </r>
  <r>
    <x v="2"/>
    <s v="Geraskins"/>
    <s v="Aleksandrs"/>
    <x v="1"/>
    <s v="1:34:55"/>
    <x v="67"/>
  </r>
  <r>
    <x v="9"/>
    <s v="Gerīnbergs"/>
    <s v="Kaspars"/>
    <x v="14"/>
    <s v="1:39:00"/>
    <x v="28"/>
  </r>
  <r>
    <x v="1"/>
    <s v="Gerliņš"/>
    <s v="Mārtiņš"/>
    <x v="1"/>
    <s v="1:50:57"/>
    <x v="13"/>
  </r>
  <r>
    <x v="2"/>
    <s v="Geta"/>
    <s v="Sergejs"/>
    <x v="0"/>
    <s v="1:07:20"/>
    <x v="41"/>
  </r>
  <r>
    <x v="3"/>
    <s v="Gibze"/>
    <s v="Katrīne"/>
    <x v="50"/>
    <s v="1:56:48"/>
    <x v="37"/>
  </r>
  <r>
    <x v="2"/>
    <s v="Gilucis"/>
    <s v="Oskars"/>
    <x v="107"/>
    <s v="1:01:30"/>
    <x v="174"/>
  </r>
  <r>
    <x v="3"/>
    <s v="Gintere"/>
    <s v="Marita"/>
    <x v="108"/>
    <s v="2:09:43"/>
    <x v="175"/>
  </r>
  <r>
    <x v="1"/>
    <s v="Goba"/>
    <s v="Edgars"/>
    <x v="1"/>
    <s v="1:39:41"/>
    <x v="60"/>
  </r>
  <r>
    <x v="2"/>
    <s v="Goģis"/>
    <s v="Mārcis"/>
    <x v="51"/>
    <s v="1:10:20"/>
    <x v="19"/>
  </r>
  <r>
    <x v="2"/>
    <s v="Goldbergs"/>
    <s v="Dainis"/>
    <x v="0"/>
    <s v="1:50:00"/>
    <x v="137"/>
  </r>
  <r>
    <x v="2"/>
    <s v="Goncaronoks"/>
    <s v="Genadijs"/>
    <x v="1"/>
    <s v="1:09:53"/>
    <x v="150"/>
  </r>
  <r>
    <x v="1"/>
    <s v="Gončars"/>
    <s v="Edgars"/>
    <x v="1"/>
    <s v="1:24:44"/>
    <x v="3"/>
  </r>
  <r>
    <x v="2"/>
    <s v="Gorodeckis"/>
    <s v="Rolands"/>
    <x v="50"/>
    <s v="1:06:50"/>
    <x v="176"/>
  </r>
  <r>
    <x v="6"/>
    <s v="Gotfridsons"/>
    <s v="Viktors"/>
    <x v="89"/>
    <s v="1:09:22"/>
    <x v="41"/>
  </r>
  <r>
    <x v="1"/>
    <s v="Gradkovskis"/>
    <s v="Vitālijs"/>
    <x v="109"/>
    <s v="1:14:47"/>
    <x v="49"/>
  </r>
  <r>
    <x v="2"/>
    <s v="Grams"/>
    <s v="Vilnis"/>
    <x v="10"/>
    <s v="1:39:47"/>
    <x v="11"/>
  </r>
  <r>
    <x v="0"/>
    <s v="Gransberga"/>
    <s v="Kristīne"/>
    <x v="6"/>
    <s v="2:24:10"/>
    <x v="106"/>
  </r>
  <r>
    <x v="1"/>
    <s v="Grass"/>
    <s v="Lauris"/>
    <x v="30"/>
    <s v="1:07:18"/>
    <x v="97"/>
  </r>
  <r>
    <x v="6"/>
    <s v="Grebežnieks"/>
    <s v="Aivars"/>
    <x v="55"/>
    <s v="1:42:45"/>
    <x v="11"/>
  </r>
  <r>
    <x v="15"/>
    <s v="Greckis"/>
    <s v="Maksims"/>
    <x v="87"/>
    <s v="1:14:50"/>
    <x v="49"/>
  </r>
  <r>
    <x v="2"/>
    <s v="Grigalinovič"/>
    <s v="Krišjānis"/>
    <x v="110"/>
    <s v="1:01:39"/>
    <x v="177"/>
  </r>
  <r>
    <x v="13"/>
    <s v="Grigorjevs"/>
    <s v="Jurģis"/>
    <x v="10"/>
    <s v="1:08:30"/>
    <x v="31"/>
  </r>
  <r>
    <x v="2"/>
    <s v="Grīgs"/>
    <s v="Kalvis"/>
    <x v="111"/>
    <s v="1:23:51"/>
    <x v="88"/>
  </r>
  <r>
    <x v="2"/>
    <s v="Grikke"/>
    <s v="Andrejs"/>
    <x v="112"/>
    <s v="1:14:34"/>
    <x v="12"/>
  </r>
  <r>
    <x v="3"/>
    <s v="Griķe"/>
    <s v="Velga"/>
    <x v="1"/>
    <s v="1:34:14"/>
    <x v="99"/>
  </r>
  <r>
    <x v="2"/>
    <s v="Griķis"/>
    <s v="Jānis"/>
    <x v="1"/>
    <s v="1:34:15"/>
    <x v="99"/>
  </r>
  <r>
    <x v="2"/>
    <s v="Grinbergs"/>
    <s v="Mārcis"/>
    <x v="54"/>
    <s v="1:30:41"/>
    <x v="34"/>
  </r>
  <r>
    <x v="2"/>
    <s v="Grinbergs"/>
    <s v="Māris"/>
    <x v="54"/>
    <s v="1:12:57"/>
    <x v="96"/>
  </r>
  <r>
    <x v="6"/>
    <s v="Grīnbergs"/>
    <s v="Aivars"/>
    <x v="13"/>
    <s v="1:25:31"/>
    <x v="7"/>
  </r>
  <r>
    <x v="2"/>
    <s v="Grīnbergs"/>
    <s v="Mārtiņš"/>
    <x v="51"/>
    <s v="1:15:26"/>
    <x v="71"/>
  </r>
  <r>
    <x v="2"/>
    <s v="Grīnhofs"/>
    <s v="Mārtiņš"/>
    <x v="51"/>
    <s v="1:25:15"/>
    <x v="130"/>
  </r>
  <r>
    <x v="2"/>
    <s v="Grīnhofs"/>
    <s v="Reinis"/>
    <x v="51"/>
    <s v="1:28:02"/>
    <x v="62"/>
  </r>
  <r>
    <x v="3"/>
    <s v="Grīnmane"/>
    <s v="Evija"/>
    <x v="51"/>
    <s v="1:22:54"/>
    <x v="143"/>
  </r>
  <r>
    <x v="2"/>
    <s v="Grods"/>
    <s v="Didzis"/>
    <x v="1"/>
    <s v="1:08:50"/>
    <x v="20"/>
  </r>
  <r>
    <x v="3"/>
    <s v="Grundule"/>
    <s v="Iveta"/>
    <x v="5"/>
    <s v="1:46:06"/>
    <x v="178"/>
  </r>
  <r>
    <x v="2"/>
    <s v="Grundulis"/>
    <s v="Māris"/>
    <x v="111"/>
    <s v="1:07:56"/>
    <x v="91"/>
  </r>
  <r>
    <x v="4"/>
    <s v="Gruziņš"/>
    <s v="Toms"/>
    <x v="113"/>
    <s v="1:44:42"/>
    <x v="52"/>
  </r>
  <r>
    <x v="3"/>
    <s v="Gulbe"/>
    <s v="Laila"/>
    <x v="0"/>
    <s v="1:24:57"/>
    <x v="179"/>
  </r>
  <r>
    <x v="2"/>
    <s v="Gulbergs"/>
    <s v="Pits"/>
    <x v="114"/>
    <s v="1:14:58"/>
    <x v="125"/>
  </r>
  <r>
    <x v="2"/>
    <s v="Gulbis"/>
    <s v="Niks"/>
    <x v="0"/>
    <s v="1:28:33"/>
    <x v="87"/>
  </r>
  <r>
    <x v="2"/>
    <s v="Guļevskis"/>
    <s v="Āris"/>
    <x v="0"/>
    <s v="1:49:44"/>
    <x v="136"/>
  </r>
  <r>
    <x v="2"/>
    <s v="Guļevskis"/>
    <s v="Ralfs"/>
    <x v="0"/>
    <s v="1:49:43"/>
    <x v="136"/>
  </r>
  <r>
    <x v="2"/>
    <s v="Guņkovs"/>
    <s v="Igors"/>
    <x v="115"/>
    <s v="1:15:24"/>
    <x v="71"/>
  </r>
  <r>
    <x v="17"/>
    <s v="Gurtiņa"/>
    <s v="Dace"/>
    <x v="116"/>
    <s v="1:56:25"/>
    <x v="180"/>
  </r>
  <r>
    <x v="9"/>
    <s v="Guščins"/>
    <s v="Vladimirs"/>
    <x v="109"/>
    <s v="1:39:13"/>
    <x v="48"/>
  </r>
  <r>
    <x v="3"/>
    <s v="Gūtmane"/>
    <s v="Sofija"/>
    <x v="22"/>
    <s v="1:44:46"/>
    <x v="27"/>
  </r>
  <r>
    <x v="6"/>
    <s v="Gvido Zvaigz"/>
    <s v="Edmunds"/>
    <x v="117"/>
    <s v="1:22:04"/>
    <x v="73"/>
  </r>
  <r>
    <x v="1"/>
    <s v="Ģērmanis"/>
    <s v="Edijs"/>
    <x v="101"/>
    <s v="1:09:13"/>
    <x v="131"/>
  </r>
  <r>
    <x v="2"/>
    <s v="Ģēvelis"/>
    <s v="Viesturs"/>
    <x v="0"/>
    <s v="1:31:49"/>
    <x v="145"/>
  </r>
  <r>
    <x v="2"/>
    <s v="Ģinis"/>
    <s v="Mārtiņš"/>
    <x v="1"/>
    <s v="1:25:11"/>
    <x v="130"/>
  </r>
  <r>
    <x v="10"/>
    <s v="Haritesku"/>
    <s v="Deniss"/>
    <x v="118"/>
    <s v="1:38:49"/>
    <x v="35"/>
  </r>
  <r>
    <x v="1"/>
    <s v="Hartmanis"/>
    <s v="Oskars"/>
    <x v="1"/>
    <s v="1:14:13"/>
    <x v="39"/>
  </r>
  <r>
    <x v="1"/>
    <s v="Hāze"/>
    <s v="Jānis"/>
    <x v="119"/>
    <s v="1:06:29"/>
    <x v="181"/>
  </r>
  <r>
    <x v="2"/>
    <s v="Heimrāts"/>
    <s v="Kārlis"/>
    <x v="0"/>
    <s v="1:40:31"/>
    <x v="134"/>
  </r>
  <r>
    <x v="2"/>
    <s v="Heimrāts"/>
    <s v="Mārtiņš"/>
    <x v="0"/>
    <s v="1:29:25"/>
    <x v="76"/>
  </r>
  <r>
    <x v="2"/>
    <s v="Heinols"/>
    <s v="Māris"/>
    <x v="120"/>
    <s v="0:59:57"/>
    <x v="75"/>
  </r>
  <r>
    <x v="3"/>
    <s v="Helmane"/>
    <s v="Natālija"/>
    <x v="55"/>
    <s v="1:43:57"/>
    <x v="69"/>
  </r>
  <r>
    <x v="0"/>
    <s v="Hertmane"/>
    <s v="Līga"/>
    <x v="1"/>
    <s v="1:39:18"/>
    <x v="154"/>
  </r>
  <r>
    <x v="0"/>
    <s v="Holma"/>
    <s v="Daiga"/>
    <x v="119"/>
    <s v="1:27:35"/>
    <x v="130"/>
  </r>
  <r>
    <x v="1"/>
    <s v="Holšteins"/>
    <s v="Kaspars"/>
    <x v="121"/>
    <s v="1:08:52"/>
    <x v="182"/>
  </r>
  <r>
    <x v="2"/>
    <s v="Holšteins"/>
    <s v="Oskars"/>
    <x v="1"/>
    <s v="1:12:36"/>
    <x v="55"/>
  </r>
  <r>
    <x v="2"/>
    <s v="Iekļavs"/>
    <s v="Sandris"/>
    <x v="5"/>
    <s v="1:13:52"/>
    <x v="45"/>
  </r>
  <r>
    <x v="2"/>
    <s v="Ieviņš"/>
    <s v="Nauris"/>
    <x v="122"/>
    <s v="2:02:43"/>
    <x v="183"/>
  </r>
  <r>
    <x v="2"/>
    <s v="Iklāvs"/>
    <s v="Jānis"/>
    <x v="123"/>
    <s v="1:11:37"/>
    <x v="40"/>
  </r>
  <r>
    <x v="2"/>
    <s v="Īle"/>
    <s v="Jānis"/>
    <x v="41"/>
    <s v="1:27:11"/>
    <x v="153"/>
  </r>
  <r>
    <x v="2"/>
    <s v="Ilmeļņickis"/>
    <s v="Jānis"/>
    <x v="124"/>
    <s v="1:16:37"/>
    <x v="151"/>
  </r>
  <r>
    <x v="5"/>
    <s v="Iļjenko"/>
    <s v="Andrejs"/>
    <x v="13"/>
    <s v="1:05:52"/>
    <x v="184"/>
  </r>
  <r>
    <x v="2"/>
    <s v="Iļķēns"/>
    <s v="Ivars"/>
    <x v="3"/>
    <s v="1:42:57"/>
    <x v="66"/>
  </r>
  <r>
    <x v="3"/>
    <s v="Imune"/>
    <s v="Agnese"/>
    <x v="50"/>
    <s v="1:08:46"/>
    <x v="20"/>
  </r>
  <r>
    <x v="3"/>
    <s v="Ince"/>
    <s v="Ieva"/>
    <x v="125"/>
    <s v="1:10:43"/>
    <x v="169"/>
  </r>
  <r>
    <x v="2"/>
    <s v="Indrāns"/>
    <s v="Valdis"/>
    <x v="3"/>
    <s v="1:40:49"/>
    <x v="134"/>
  </r>
  <r>
    <x v="1"/>
    <s v="Inka"/>
    <s v="Uģis"/>
    <x v="126"/>
    <s v="1:08:33"/>
    <x v="31"/>
  </r>
  <r>
    <x v="2"/>
    <s v="Irklis"/>
    <s v="Rolands"/>
    <x v="127"/>
    <s v="1:08:05"/>
    <x v="54"/>
  </r>
  <r>
    <x v="3"/>
    <s v="Istjagina"/>
    <s v="Irina"/>
    <x v="22"/>
    <s v="1:16:48"/>
    <x v="14"/>
  </r>
  <r>
    <x v="2"/>
    <s v="Istjagins"/>
    <s v="Vladislavs"/>
    <x v="22"/>
    <s v="1:25:58"/>
    <x v="112"/>
  </r>
  <r>
    <x v="2"/>
    <s v="Ivanovs"/>
    <s v="Igors"/>
    <x v="1"/>
    <s v="1:04:04"/>
    <x v="184"/>
  </r>
  <r>
    <x v="3"/>
    <s v="Ivanovska"/>
    <s v="Gabriela"/>
    <x v="1"/>
    <s v="1:29:11"/>
    <x v="70"/>
  </r>
  <r>
    <x v="2"/>
    <s v="Jākabsons"/>
    <s v="Guntis"/>
    <x v="128"/>
    <s v="1:13:16"/>
    <x v="93"/>
  </r>
  <r>
    <x v="2"/>
    <s v="Jākabsons"/>
    <s v="Aigars"/>
    <x v="1"/>
    <s v="1:41:40"/>
    <x v="52"/>
  </r>
  <r>
    <x v="1"/>
    <s v="Jakovels"/>
    <s v="Gints"/>
    <x v="35"/>
    <s v="0:59:10"/>
    <x v="185"/>
  </r>
  <r>
    <x v="3"/>
    <s v="Jakovļeva"/>
    <s v="Dzintra"/>
    <x v="129"/>
    <s v="1:13:44"/>
    <x v="45"/>
  </r>
  <r>
    <x v="15"/>
    <s v="Jakovļevs"/>
    <s v="Atis"/>
    <x v="6"/>
    <s v="1:19:29"/>
    <x v="98"/>
  </r>
  <r>
    <x v="5"/>
    <s v="Jakovļevs"/>
    <s v="Igors"/>
    <x v="6"/>
    <s v="1:21:42"/>
    <x v="85"/>
  </r>
  <r>
    <x v="3"/>
    <s v="Jakubovska"/>
    <s v="Tatjana"/>
    <x v="40"/>
    <s v="1:22:52"/>
    <x v="143"/>
  </r>
  <r>
    <x v="2"/>
    <s v="Jakubovskis"/>
    <s v="Germans"/>
    <x v="40"/>
    <s v="1:16:45"/>
    <x v="14"/>
  </r>
  <r>
    <x v="3"/>
    <s v="Jankova"/>
    <s v="Alise"/>
    <x v="78"/>
    <s v="1:40:44"/>
    <x v="134"/>
  </r>
  <r>
    <x v="12"/>
    <s v="Jankovs"/>
    <s v="Dmitrijs"/>
    <x v="78"/>
    <s v="1:42:47"/>
    <x v="186"/>
  </r>
  <r>
    <x v="2"/>
    <s v="Jankovskis"/>
    <s v="Juris"/>
    <x v="50"/>
    <s v="1:19:06"/>
    <x v="107"/>
  </r>
  <r>
    <x v="0"/>
    <s v="Janova"/>
    <s v="Katrīna"/>
    <x v="130"/>
    <s v="1:51:39"/>
    <x v="144"/>
  </r>
  <r>
    <x v="3"/>
    <s v="Janoviča"/>
    <s v="Karīna"/>
    <x v="40"/>
    <s v="1:26:33"/>
    <x v="42"/>
  </r>
  <r>
    <x v="3"/>
    <s v="Jansone"/>
    <s v="Zane"/>
    <x v="131"/>
    <s v="1:30:44"/>
    <x v="34"/>
  </r>
  <r>
    <x v="16"/>
    <s v="Jansone"/>
    <s v="Dana"/>
    <x v="45"/>
    <s v="1:57:26"/>
    <x v="187"/>
  </r>
  <r>
    <x v="2"/>
    <s v="Jansons"/>
    <s v="Edmunds"/>
    <x v="0"/>
    <s v="2:06:43"/>
    <x v="38"/>
  </r>
  <r>
    <x v="2"/>
    <s v="Jansons"/>
    <s v="Dāvis"/>
    <x v="132"/>
    <s v="2:05:45"/>
    <x v="188"/>
  </r>
  <r>
    <x v="2"/>
    <s v="Jansons"/>
    <s v="Edmunds"/>
    <x v="132"/>
    <s v="2:05:50"/>
    <x v="188"/>
  </r>
  <r>
    <x v="2"/>
    <s v="Jansons"/>
    <s v="Mārtiņš"/>
    <x v="77"/>
    <s v="1:36:15"/>
    <x v="59"/>
  </r>
  <r>
    <x v="5"/>
    <s v="Jansons"/>
    <s v="Ainars"/>
    <x v="45"/>
    <s v="1:15:05"/>
    <x v="96"/>
  </r>
  <r>
    <x v="1"/>
    <s v="Jansons"/>
    <s v="Māris"/>
    <x v="1"/>
    <s v="1:14:53"/>
    <x v="49"/>
  </r>
  <r>
    <x v="4"/>
    <s v="Jansons"/>
    <s v="Matīss"/>
    <x v="45"/>
    <s v="1:14:31"/>
    <x v="55"/>
  </r>
  <r>
    <x v="4"/>
    <s v="Jansons"/>
    <s v="Reinis"/>
    <x v="131"/>
    <s v="1:19:21"/>
    <x v="157"/>
  </r>
  <r>
    <x v="2"/>
    <s v="Jansons"/>
    <s v="Oļegs"/>
    <x v="1"/>
    <s v="1:02:04"/>
    <x v="6"/>
  </r>
  <r>
    <x v="3"/>
    <s v="Jantone"/>
    <s v="Signe"/>
    <x v="1"/>
    <s v="1:31:14"/>
    <x v="110"/>
  </r>
  <r>
    <x v="3"/>
    <s v="Jasinkeviča"/>
    <s v="Inga"/>
    <x v="1"/>
    <s v="1:48:51"/>
    <x v="23"/>
  </r>
  <r>
    <x v="3"/>
    <s v="Jasinkēviča"/>
    <s v="Dana"/>
    <x v="1"/>
    <s v="2:22:43"/>
    <x v="189"/>
  </r>
  <r>
    <x v="2"/>
    <s v="Jasinkevičs"/>
    <s v="Kaspars"/>
    <x v="1"/>
    <s v="1:18:55"/>
    <x v="79"/>
  </r>
  <r>
    <x v="4"/>
    <s v="Jaunītis"/>
    <s v="Roberts"/>
    <x v="15"/>
    <s v="1:19:53"/>
    <x v="26"/>
  </r>
  <r>
    <x v="5"/>
    <s v="Jaunītis"/>
    <s v="Raimonds"/>
    <x v="15"/>
    <s v="1:15:22"/>
    <x v="93"/>
  </r>
  <r>
    <x v="2"/>
    <s v="Jauntēvs"/>
    <s v="Viesturs"/>
    <x v="0"/>
    <s v="1:15:17"/>
    <x v="71"/>
  </r>
  <r>
    <x v="3"/>
    <s v="Jaunzeme"/>
    <s v="Ingūna"/>
    <x v="51"/>
    <s v="1:28:21"/>
    <x v="87"/>
  </r>
  <r>
    <x v="2"/>
    <s v="Jēgers"/>
    <s v="Māris"/>
    <x v="23"/>
    <s v="1:13:27"/>
    <x v="17"/>
  </r>
  <r>
    <x v="12"/>
    <s v="Jegorenko"/>
    <s v="Nikolajs"/>
    <x v="109"/>
    <s v="1:40:07"/>
    <x v="190"/>
  </r>
  <r>
    <x v="3"/>
    <s v="Jēkabsone"/>
    <s v="Zane"/>
    <x v="51"/>
    <s v="1:29:20"/>
    <x v="70"/>
  </r>
  <r>
    <x v="3"/>
    <s v="Jēkabsone"/>
    <s v="Ieva"/>
    <x v="51"/>
    <s v="1:39:23"/>
    <x v="16"/>
  </r>
  <r>
    <x v="4"/>
    <s v="Jēkabsons"/>
    <s v="Elvijs"/>
    <x v="133"/>
    <s v="1:19:06"/>
    <x v="14"/>
  </r>
  <r>
    <x v="5"/>
    <s v="Jēkabsons"/>
    <s v="Juris"/>
    <x v="133"/>
    <s v="1:24:57"/>
    <x v="3"/>
  </r>
  <r>
    <x v="2"/>
    <s v="Jekševics"/>
    <s v="Valters"/>
    <x v="51"/>
    <s v="1:05:56"/>
    <x v="56"/>
  </r>
  <r>
    <x v="2"/>
    <s v="Jelisejevs"/>
    <s v="Aleksandrs"/>
    <x v="134"/>
    <s v="1:02:59"/>
    <x v="2"/>
  </r>
  <r>
    <x v="2"/>
    <s v="Jerjomenko"/>
    <s v="Antons"/>
    <x v="1"/>
    <s v="1:20:51"/>
    <x v="4"/>
  </r>
  <r>
    <x v="2"/>
    <s v="Jevsevjevs"/>
    <s v="Andrejs"/>
    <x v="135"/>
    <s v="1:32:33"/>
    <x v="5"/>
  </r>
  <r>
    <x v="14"/>
    <s v="Jonaitis"/>
    <s v="Aleksandrs"/>
    <x v="33"/>
    <s v="1:20:50"/>
    <x v="46"/>
  </r>
  <r>
    <x v="1"/>
    <s v="Jonass"/>
    <s v="Mārcis"/>
    <x v="1"/>
    <s v="1:08:48"/>
    <x v="182"/>
  </r>
  <r>
    <x v="2"/>
    <s v="Jonāts"/>
    <s v="Māris"/>
    <x v="75"/>
    <s v="1:15:54"/>
    <x v="74"/>
  </r>
  <r>
    <x v="1"/>
    <s v="Joņkus"/>
    <s v="Ģirts"/>
    <x v="9"/>
    <s v="1:15:29"/>
    <x v="93"/>
  </r>
  <r>
    <x v="5"/>
    <s v="Jurgels"/>
    <s v="Aivars"/>
    <x v="136"/>
    <s v="1:31:03"/>
    <x v="87"/>
  </r>
  <r>
    <x v="1"/>
    <s v="Jurgels"/>
    <s v="Arnis"/>
    <x v="1"/>
    <s v="1:42:22"/>
    <x v="16"/>
  </r>
  <r>
    <x v="12"/>
    <s v="Jurģelis"/>
    <s v="Aigars"/>
    <x v="119"/>
    <s v="2:11:19"/>
    <x v="44"/>
  </r>
  <r>
    <x v="2"/>
    <s v="Jurisons"/>
    <s v="Ilmārs"/>
    <x v="51"/>
    <s v="1:36:40"/>
    <x v="154"/>
  </r>
  <r>
    <x v="3"/>
    <s v="Jurševska"/>
    <s v="Iluta"/>
    <x v="93"/>
    <s v="1:39:12"/>
    <x v="16"/>
  </r>
  <r>
    <x v="2"/>
    <s v="Jurševskis"/>
    <s v="Ēriks"/>
    <x v="93"/>
    <s v="1:40:05"/>
    <x v="10"/>
  </r>
  <r>
    <x v="2"/>
    <s v="Jurševskis"/>
    <s v="Uģis"/>
    <x v="93"/>
    <s v="1:39:48"/>
    <x v="11"/>
  </r>
  <r>
    <x v="5"/>
    <s v="Kairišs"/>
    <s v="Juris"/>
    <x v="137"/>
    <s v="1:08:53"/>
    <x v="182"/>
  </r>
  <r>
    <x v="12"/>
    <s v="Kalašņikovs"/>
    <s v="Viktors"/>
    <x v="109"/>
    <s v="1:46:05"/>
    <x v="191"/>
  </r>
  <r>
    <x v="2"/>
    <s v="Kalējs"/>
    <s v="Aigars"/>
    <x v="26"/>
    <s v="0:57:43"/>
    <x v="139"/>
  </r>
  <r>
    <x v="2"/>
    <s v="Kalējs"/>
    <s v="Jānis"/>
    <x v="1"/>
    <s v="1:05:26"/>
    <x v="97"/>
  </r>
  <r>
    <x v="3"/>
    <s v="Kaliksone"/>
    <s v="Ilva"/>
    <x v="1"/>
    <s v="1:22:51"/>
    <x v="143"/>
  </r>
  <r>
    <x v="2"/>
    <s v="Kaliksons"/>
    <s v="Gints"/>
    <x v="1"/>
    <s v="1:23:49"/>
    <x v="88"/>
  </r>
  <r>
    <x v="2"/>
    <s v="Kaliksons"/>
    <s v="Zigurds"/>
    <x v="1"/>
    <s v="1:17:03"/>
    <x v="157"/>
  </r>
  <r>
    <x v="2"/>
    <s v="Kalinka"/>
    <s v="Ronalds"/>
    <x v="1"/>
    <s v="1:13:24"/>
    <x v="93"/>
  </r>
  <r>
    <x v="2"/>
    <s v="Kālis"/>
    <s v="Askolds"/>
    <x v="1"/>
    <s v="1:24:48"/>
    <x v="179"/>
  </r>
  <r>
    <x v="3"/>
    <s v="Kalniņa"/>
    <s v="Inga"/>
    <x v="54"/>
    <s v="1:35:29"/>
    <x v="30"/>
  </r>
  <r>
    <x v="0"/>
    <s v="Kalniņa"/>
    <s v="Elita"/>
    <x v="10"/>
    <s v="1:49:05"/>
    <x v="121"/>
  </r>
  <r>
    <x v="16"/>
    <s v="Kalniņa"/>
    <s v="Aiva"/>
    <x v="10"/>
    <s v="1:25:18"/>
    <x v="143"/>
  </r>
  <r>
    <x v="3"/>
    <s v="Kalniņa"/>
    <s v="Indra"/>
    <x v="138"/>
    <s v="1:17:20"/>
    <x v="98"/>
  </r>
  <r>
    <x v="3"/>
    <s v="Kalniņa"/>
    <s v="Kristīne"/>
    <x v="1"/>
    <s v="1:34:12"/>
    <x v="99"/>
  </r>
  <r>
    <x v="3"/>
    <s v="Kalniņa"/>
    <s v="Sannija"/>
    <x v="1"/>
    <s v="1:26:58"/>
    <x v="192"/>
  </r>
  <r>
    <x v="2"/>
    <s v="Kalniņš"/>
    <s v="Noris"/>
    <x v="1"/>
    <s v="1:18:50"/>
    <x v="79"/>
  </r>
  <r>
    <x v="2"/>
    <s v="Kalniņš"/>
    <s v="Nauris"/>
    <x v="0"/>
    <s v="1:41:41"/>
    <x v="52"/>
  </r>
  <r>
    <x v="2"/>
    <s v="Kalniņš"/>
    <s v="Juris"/>
    <x v="54"/>
    <s v="1:30:51"/>
    <x v="34"/>
  </r>
  <r>
    <x v="2"/>
    <s v="Kalniņš"/>
    <s v="Gints"/>
    <x v="139"/>
    <s v="0:57:35"/>
    <x v="21"/>
  </r>
  <r>
    <x v="2"/>
    <s v="Kalniņš"/>
    <s v="Ēriks"/>
    <x v="1"/>
    <s v="1:03:39"/>
    <x v="9"/>
  </r>
  <r>
    <x v="5"/>
    <s v="Kalniņš"/>
    <s v="Ģirts"/>
    <x v="60"/>
    <s v="1:01:12"/>
    <x v="193"/>
  </r>
  <r>
    <x v="2"/>
    <s v="Kalniņš"/>
    <s v="Kārlis"/>
    <x v="22"/>
    <s v="1:14:19"/>
    <x v="111"/>
  </r>
  <r>
    <x v="2"/>
    <s v="Kalniņš"/>
    <s v="Didzis"/>
    <x v="1"/>
    <s v="1:13:16"/>
    <x v="93"/>
  </r>
  <r>
    <x v="2"/>
    <s v="Kalniņš"/>
    <s v="Artūrs"/>
    <x v="1"/>
    <s v="1:25:11"/>
    <x v="130"/>
  </r>
  <r>
    <x v="2"/>
    <s v="Kalniņš"/>
    <s v="Madars"/>
    <x v="1"/>
    <s v="1:09:35"/>
    <x v="194"/>
  </r>
  <r>
    <x v="2"/>
    <s v="Kalniņš"/>
    <s v="Arnis"/>
    <x v="1"/>
    <s v="1:04:59"/>
    <x v="155"/>
  </r>
  <r>
    <x v="2"/>
    <s v="Kalniņš"/>
    <s v="Agris"/>
    <x v="1"/>
    <s v="1:20:18"/>
    <x v="195"/>
  </r>
  <r>
    <x v="2"/>
    <s v="Kalniņš"/>
    <s v="Jānis-Egīls"/>
    <x v="1"/>
    <s v="1:29:18"/>
    <x v="70"/>
  </r>
  <r>
    <x v="1"/>
    <s v="Kalnups"/>
    <s v="Aigars"/>
    <x v="140"/>
    <s v="1:12:57"/>
    <x v="169"/>
  </r>
  <r>
    <x v="2"/>
    <s v="Kalnups"/>
    <s v="Arnis"/>
    <x v="1"/>
    <s v="1:11:07"/>
    <x v="123"/>
  </r>
  <r>
    <x v="2"/>
    <s v="Kalve"/>
    <s v="Māris"/>
    <x v="1"/>
    <s v="1:09:38"/>
    <x v="194"/>
  </r>
  <r>
    <x v="3"/>
    <s v="Kalve"/>
    <s v="Ilze"/>
    <x v="1"/>
    <s v="1:31:57"/>
    <x v="145"/>
  </r>
  <r>
    <x v="3"/>
    <s v="Kalverša"/>
    <s v="Dace"/>
    <x v="55"/>
    <s v="1:24:59"/>
    <x v="179"/>
  </r>
  <r>
    <x v="3"/>
    <s v="Kalverša"/>
    <s v="Linda"/>
    <x v="55"/>
    <s v="1:33:23"/>
    <x v="173"/>
  </r>
  <r>
    <x v="2"/>
    <s v="Kalveršs"/>
    <s v="Māris"/>
    <x v="55"/>
    <s v="1:24:58"/>
    <x v="179"/>
  </r>
  <r>
    <x v="2"/>
    <s v="Kalvišķis"/>
    <s v="Toms"/>
    <x v="1"/>
    <s v="1:22:24"/>
    <x v="3"/>
  </r>
  <r>
    <x v="3"/>
    <s v="Kampuse"/>
    <s v="Dace"/>
    <x v="141"/>
    <s v="1:25:50"/>
    <x v="112"/>
  </r>
  <r>
    <x v="2"/>
    <s v="Kampuss"/>
    <s v="Egīls"/>
    <x v="141"/>
    <s v="1:15:08"/>
    <x v="94"/>
  </r>
  <r>
    <x v="2"/>
    <s v="Kanaviņš"/>
    <s v="Ainis"/>
    <x v="0"/>
    <s v="1:28:33"/>
    <x v="87"/>
  </r>
  <r>
    <x v="5"/>
    <s v="Kanaviņš"/>
    <s v="Guntis"/>
    <x v="1"/>
    <s v="1:18:28"/>
    <x v="196"/>
  </r>
  <r>
    <x v="1"/>
    <s v="Kandelis"/>
    <s v="Gatis"/>
    <x v="1"/>
    <s v="1:20:51"/>
    <x v="46"/>
  </r>
  <r>
    <x v="1"/>
    <s v="Kapitonovs"/>
    <s v="Sandis"/>
    <x v="142"/>
    <s v="1:17:36"/>
    <x v="71"/>
  </r>
  <r>
    <x v="13"/>
    <s v="Kārkliņš"/>
    <s v="Raitis"/>
    <x v="143"/>
    <s v="1:11:41"/>
    <x v="194"/>
  </r>
  <r>
    <x v="2"/>
    <s v="Kārkliņš"/>
    <s v="Jānis"/>
    <x v="106"/>
    <s v="1:12:31"/>
    <x v="55"/>
  </r>
  <r>
    <x v="13"/>
    <s v="Karpinskis"/>
    <s v="Edgars"/>
    <x v="52"/>
    <s v="1:33:17"/>
    <x v="34"/>
  </r>
  <r>
    <x v="2"/>
    <s v="Kāršenieks"/>
    <s v="Artūrs"/>
    <x v="5"/>
    <s v="1:16:33"/>
    <x v="151"/>
  </r>
  <r>
    <x v="3"/>
    <s v="Kāršniece"/>
    <s v="Malda"/>
    <x v="5"/>
    <s v="2:10:45"/>
    <x v="197"/>
  </r>
  <r>
    <x v="2"/>
    <s v="Kasparsons"/>
    <s v="Kaspars"/>
    <x v="144"/>
    <s v="1:10:38"/>
    <x v="198"/>
  </r>
  <r>
    <x v="2"/>
    <s v="Kaupe"/>
    <s v="Jānis"/>
    <x v="110"/>
    <s v="0:56:57"/>
    <x v="180"/>
  </r>
  <r>
    <x v="2"/>
    <s v="Kaupe"/>
    <s v="Edgars"/>
    <x v="110"/>
    <s v="1:16:40"/>
    <x v="14"/>
  </r>
  <r>
    <x v="2"/>
    <s v="Kazainis"/>
    <s v="Jānis"/>
    <x v="26"/>
    <s v="1:28:06"/>
    <x v="62"/>
  </r>
  <r>
    <x v="1"/>
    <s v="Každaļevič"/>
    <s v="Aleksandr"/>
    <x v="61"/>
    <s v="1:18:16"/>
    <x v="196"/>
  </r>
  <r>
    <x v="3"/>
    <s v="Keiša"/>
    <s v="Sandra"/>
    <x v="145"/>
    <s v="1:46:39"/>
    <x v="109"/>
  </r>
  <r>
    <x v="2"/>
    <s v="Kikusts"/>
    <s v="Jānis"/>
    <x v="49"/>
    <s v="1:20:13"/>
    <x v="195"/>
  </r>
  <r>
    <x v="2"/>
    <s v="Kipurs"/>
    <s v="Alberts"/>
    <x v="1"/>
    <s v="1:05:35"/>
    <x v="97"/>
  </r>
  <r>
    <x v="2"/>
    <s v="Kipurs"/>
    <s v="Kaspars"/>
    <x v="1"/>
    <s v="0:57:29"/>
    <x v="185"/>
  </r>
  <r>
    <x v="2"/>
    <s v="Kipurs"/>
    <s v="Kristaps"/>
    <x v="1"/>
    <s v="1:01:12"/>
    <x v="199"/>
  </r>
  <r>
    <x v="2"/>
    <s v="Kipurs"/>
    <s v="Roberts"/>
    <x v="1"/>
    <s v="0:58:04"/>
    <x v="81"/>
  </r>
  <r>
    <x v="3"/>
    <s v="Klefelde"/>
    <s v="Anita"/>
    <x v="146"/>
    <s v="1:37:09"/>
    <x v="60"/>
  </r>
  <r>
    <x v="2"/>
    <s v="Klefelde"/>
    <s v="Kaspars"/>
    <x v="146"/>
    <s v="1:16:52"/>
    <x v="14"/>
  </r>
  <r>
    <x v="16"/>
    <s v="Kleinberga"/>
    <s v="Ginta"/>
    <x v="82"/>
    <s v="1:57:54"/>
    <x v="187"/>
  </r>
  <r>
    <x v="5"/>
    <s v="Kleinbergs"/>
    <s v="Raimonds"/>
    <x v="82"/>
    <s v="1:12:43"/>
    <x v="198"/>
  </r>
  <r>
    <x v="6"/>
    <s v="Kleinbergs"/>
    <s v="Jānis"/>
    <x v="147"/>
    <s v="1:04:06"/>
    <x v="120"/>
  </r>
  <r>
    <x v="1"/>
    <s v="Klepers"/>
    <s v="Andris"/>
    <x v="148"/>
    <s v="1:24:02"/>
    <x v="95"/>
  </r>
  <r>
    <x v="2"/>
    <s v="Klēvers"/>
    <s v="Ģirts"/>
    <x v="62"/>
    <s v="1:36:10"/>
    <x v="59"/>
  </r>
  <r>
    <x v="2"/>
    <s v="Klucis"/>
    <s v="Aivars"/>
    <x v="0"/>
    <s v="1:19:08"/>
    <x v="107"/>
  </r>
  <r>
    <x v="2"/>
    <s v="Kļaviņš"/>
    <s v="Miks"/>
    <x v="149"/>
    <s v="1:17:00"/>
    <x v="157"/>
  </r>
  <r>
    <x v="2"/>
    <s v="Kļaviņš"/>
    <s v="Ansis"/>
    <x v="123"/>
    <s v="1:31:40"/>
    <x v="124"/>
  </r>
  <r>
    <x v="6"/>
    <s v="Kļaviņš"/>
    <s v="Andris"/>
    <x v="1"/>
    <s v="2:09:43"/>
    <x v="188"/>
  </r>
  <r>
    <x v="1"/>
    <s v="Kļaviņš"/>
    <s v="Artis"/>
    <x v="1"/>
    <s v="1:08:52"/>
    <x v="182"/>
  </r>
  <r>
    <x v="1"/>
    <s v="Kļaviņš"/>
    <s v="Arnis"/>
    <x v="150"/>
    <s v="1:14:57"/>
    <x v="49"/>
  </r>
  <r>
    <x v="6"/>
    <s v="Kļaviņš"/>
    <s v="Aivars"/>
    <x v="55"/>
    <s v="1:22:51"/>
    <x v="51"/>
  </r>
  <r>
    <x v="2"/>
    <s v="Kļaviņš"/>
    <s v="Artūrs"/>
    <x v="1"/>
    <s v="0:57:17"/>
    <x v="200"/>
  </r>
  <r>
    <x v="2"/>
    <s v="Kļaviņš"/>
    <s v="Olafs"/>
    <x v="1"/>
    <s v="1:20:59"/>
    <x v="4"/>
  </r>
  <r>
    <x v="2"/>
    <s v="Kļavnieks"/>
    <s v="Vladimirs"/>
    <x v="1"/>
    <s v="1:19:35"/>
    <x v="73"/>
  </r>
  <r>
    <x v="1"/>
    <s v="Kļukins"/>
    <s v="Aleksandrs"/>
    <x v="151"/>
    <s v="1:16:11"/>
    <x v="152"/>
  </r>
  <r>
    <x v="1"/>
    <s v="Knēža"/>
    <s v="Dzintars"/>
    <x v="1"/>
    <s v="1:09:01"/>
    <x v="131"/>
  </r>
  <r>
    <x v="7"/>
    <s v="Knope"/>
    <s v="Agris"/>
    <x v="13"/>
    <s v="1:54:47"/>
    <x v="201"/>
  </r>
  <r>
    <x v="16"/>
    <s v="Kokare"/>
    <s v="Paula"/>
    <x v="1"/>
    <s v="1:43:34"/>
    <x v="134"/>
  </r>
  <r>
    <x v="6"/>
    <s v="Kokars"/>
    <s v="Igors"/>
    <x v="1"/>
    <s v="1:21:18"/>
    <x v="107"/>
  </r>
  <r>
    <x v="4"/>
    <s v="Kokts"/>
    <s v="Andris"/>
    <x v="152"/>
    <s v="1:41:57"/>
    <x v="16"/>
  </r>
  <r>
    <x v="1"/>
    <s v="Kokts"/>
    <s v="Artūrs"/>
    <x v="152"/>
    <s v="1:32:11"/>
    <x v="76"/>
  </r>
  <r>
    <x v="2"/>
    <s v="Kolovza"/>
    <s v="Oskars"/>
    <x v="1"/>
    <s v="1:10:50"/>
    <x v="169"/>
  </r>
  <r>
    <x v="2"/>
    <s v="Koļagins"/>
    <s v="Jurijs"/>
    <x v="1"/>
    <s v="1:03:45"/>
    <x v="9"/>
  </r>
  <r>
    <x v="2"/>
    <s v="Komovs"/>
    <s v="Sergejs"/>
    <x v="9"/>
    <s v="2:28:40"/>
    <x v="202"/>
  </r>
  <r>
    <x v="2"/>
    <s v="Kondrāds"/>
    <s v="Kristaps"/>
    <x v="51"/>
    <s v="1:13:36"/>
    <x v="17"/>
  </r>
  <r>
    <x v="2"/>
    <s v="Kondratjevs"/>
    <s v="Edgars"/>
    <x v="2"/>
    <s v="1:09:35"/>
    <x v="194"/>
  </r>
  <r>
    <x v="2"/>
    <s v="Kononovič"/>
    <s v="Nikolais"/>
    <x v="112"/>
    <s v="1:00:28"/>
    <x v="203"/>
  </r>
  <r>
    <x v="2"/>
    <s v="Kononovs"/>
    <s v="Aleksejs"/>
    <x v="9"/>
    <s v="1:22:38"/>
    <x v="3"/>
  </r>
  <r>
    <x v="3"/>
    <s v="Konrāde"/>
    <s v="Mārīte"/>
    <x v="51"/>
    <s v="1:46:42"/>
    <x v="109"/>
  </r>
  <r>
    <x v="1"/>
    <s v="Konunovs"/>
    <s v="Jānis"/>
    <x v="1"/>
    <s v="2:00:43"/>
    <x v="141"/>
  </r>
  <r>
    <x v="3"/>
    <s v="Korņējeva"/>
    <s v="Liene"/>
    <x v="153"/>
    <s v="1:22:51"/>
    <x v="143"/>
  </r>
  <r>
    <x v="2"/>
    <s v="Korņējevs"/>
    <s v="Normunds"/>
    <x v="154"/>
    <s v="0:59:07"/>
    <x v="204"/>
  </r>
  <r>
    <x v="9"/>
    <s v="Korņilovs"/>
    <s v="Vitālijs"/>
    <x v="30"/>
    <s v="1:39:05"/>
    <x v="48"/>
  </r>
  <r>
    <x v="2"/>
    <s v="Korotkovs"/>
    <s v="Denis"/>
    <x v="146"/>
    <s v="1:13:44"/>
    <x v="45"/>
  </r>
  <r>
    <x v="1"/>
    <s v="Kosarevs"/>
    <s v="Aleksandrs"/>
    <x v="155"/>
    <s v="1:58:23"/>
    <x v="50"/>
  </r>
  <r>
    <x v="0"/>
    <s v="Kovalevska"/>
    <s v="Rima"/>
    <x v="124"/>
    <s v="2:09:48"/>
    <x v="188"/>
  </r>
  <r>
    <x v="2"/>
    <s v="Kovals"/>
    <s v="Jānis"/>
    <x v="9"/>
    <s v="1:19:32"/>
    <x v="85"/>
  </r>
  <r>
    <x v="2"/>
    <s v="Kovaļenko"/>
    <s v="Juris"/>
    <x v="22"/>
    <s v="1:25:23"/>
    <x v="58"/>
  </r>
  <r>
    <x v="0"/>
    <s v="Kovšele"/>
    <s v="Kristīne"/>
    <x v="50"/>
    <s v="2:08:11"/>
    <x v="171"/>
  </r>
  <r>
    <x v="2"/>
    <s v="Kovtuņenko"/>
    <s v="Dāvis"/>
    <x v="9"/>
    <s v="2:28:40"/>
    <x v="202"/>
  </r>
  <r>
    <x v="3"/>
    <s v="Krama"/>
    <s v="Baiba"/>
    <x v="54"/>
    <s v="1:26:02"/>
    <x v="112"/>
  </r>
  <r>
    <x v="2"/>
    <s v="Krams"/>
    <s v="Valdis"/>
    <x v="156"/>
    <s v="1:06:30"/>
    <x v="31"/>
  </r>
  <r>
    <x v="0"/>
    <s v="Krasta"/>
    <s v="Ilze"/>
    <x v="1"/>
    <s v="1:26:33"/>
    <x v="122"/>
  </r>
  <r>
    <x v="3"/>
    <s v="Krasta"/>
    <s v="Ilze"/>
    <x v="1"/>
    <s v="1:44:41"/>
    <x v="27"/>
  </r>
  <r>
    <x v="2"/>
    <s v="Krastiņš"/>
    <s v="Jānis"/>
    <x v="1"/>
    <s v="1:11:04"/>
    <x v="123"/>
  </r>
  <r>
    <x v="9"/>
    <s v="Krastiņš"/>
    <s v="Edgars"/>
    <x v="24"/>
    <s v="1:38:58"/>
    <x v="28"/>
  </r>
  <r>
    <x v="15"/>
    <s v="Krastiņš"/>
    <s v="Elmārs"/>
    <x v="157"/>
    <s v="1:22:20"/>
    <x v="162"/>
  </r>
  <r>
    <x v="1"/>
    <s v="Krastiņš"/>
    <s v="Pēteris"/>
    <x v="76"/>
    <s v="1:14:12"/>
    <x v="39"/>
  </r>
  <r>
    <x v="2"/>
    <s v="Krastiņš"/>
    <s v="Mikus"/>
    <x v="1"/>
    <s v="1:01:58"/>
    <x v="6"/>
  </r>
  <r>
    <x v="5"/>
    <s v="Krasts"/>
    <s v="Aigars"/>
    <x v="158"/>
    <s v="1:11:38"/>
    <x v="194"/>
  </r>
  <r>
    <x v="2"/>
    <s v="Krasts"/>
    <s v="Gints"/>
    <x v="124"/>
    <s v="1:01:10"/>
    <x v="199"/>
  </r>
  <r>
    <x v="1"/>
    <s v="Krauja"/>
    <s v="Dainis"/>
    <x v="159"/>
    <s v="1:13:24"/>
    <x v="83"/>
  </r>
  <r>
    <x v="6"/>
    <s v="Krauja"/>
    <s v="Andris"/>
    <x v="160"/>
    <s v="1:26:26"/>
    <x v="122"/>
  </r>
  <r>
    <x v="3"/>
    <s v="Kraukle"/>
    <s v="Ilze"/>
    <x v="1"/>
    <s v="1:31:26"/>
    <x v="124"/>
  </r>
  <r>
    <x v="3"/>
    <s v="Kravale"/>
    <s v="Irēna"/>
    <x v="1"/>
    <s v="1:41:50"/>
    <x v="52"/>
  </r>
  <r>
    <x v="2"/>
    <s v="Kravalis"/>
    <s v="Aigars"/>
    <x v="1"/>
    <s v="1:08:49"/>
    <x v="20"/>
  </r>
  <r>
    <x v="2"/>
    <s v="Kreicbergs"/>
    <s v="Mārtiņš"/>
    <x v="3"/>
    <s v="1:11:19"/>
    <x v="83"/>
  </r>
  <r>
    <x v="2"/>
    <s v="Kreiss"/>
    <s v="Eduards"/>
    <x v="1"/>
    <s v="1:04:22"/>
    <x v="44"/>
  </r>
  <r>
    <x v="2"/>
    <s v="Krēsliņš"/>
    <s v="Gints"/>
    <x v="1"/>
    <s v="1:22:19"/>
    <x v="108"/>
  </r>
  <r>
    <x v="3"/>
    <s v="Krievāne"/>
    <s v="Silvija"/>
    <x v="40"/>
    <s v="1:34:17"/>
    <x v="99"/>
  </r>
  <r>
    <x v="2"/>
    <s v="Krievkalns"/>
    <s v="Ints"/>
    <x v="161"/>
    <s v="1:13:33"/>
    <x v="17"/>
  </r>
  <r>
    <x v="2"/>
    <s v="Krievs"/>
    <s v="Mārcis"/>
    <x v="9"/>
    <s v="1:12:46"/>
    <x v="49"/>
  </r>
  <r>
    <x v="12"/>
    <s v="Kristovskis"/>
    <s v="Uldis"/>
    <x v="162"/>
    <s v="2:17:54"/>
    <x v="41"/>
  </r>
  <r>
    <x v="3"/>
    <s v="Krogzeme"/>
    <s v="Lauma"/>
    <x v="1"/>
    <s v="1:51:46"/>
    <x v="32"/>
  </r>
  <r>
    <x v="2"/>
    <s v="Krogzems"/>
    <s v="Didzis"/>
    <x v="1"/>
    <s v="1:29:47"/>
    <x v="205"/>
  </r>
  <r>
    <x v="3"/>
    <s v="Krūklīte"/>
    <s v="Laura"/>
    <x v="45"/>
    <s v="1:21:35"/>
    <x v="95"/>
  </r>
  <r>
    <x v="5"/>
    <s v="Krūklītis"/>
    <s v="Māris"/>
    <x v="45"/>
    <s v="1:34:18"/>
    <x v="124"/>
  </r>
  <r>
    <x v="0"/>
    <s v="Krūmiņa"/>
    <s v="Ivita"/>
    <x v="101"/>
    <s v="1:19:47"/>
    <x v="26"/>
  </r>
  <r>
    <x v="0"/>
    <s v="Krūmiņa"/>
    <s v="Agija"/>
    <x v="163"/>
    <s v="1:52:29"/>
    <x v="23"/>
  </r>
  <r>
    <x v="3"/>
    <s v="Krūmiņa"/>
    <s v="Līga"/>
    <x v="23"/>
    <s v="1:32:22"/>
    <x v="138"/>
  </r>
  <r>
    <x v="2"/>
    <s v="Krūmiņliepa"/>
    <s v="Andris"/>
    <x v="164"/>
    <s v="1:00:13"/>
    <x v="114"/>
  </r>
  <r>
    <x v="1"/>
    <s v="Krūmiņš"/>
    <s v="Ingus"/>
    <x v="117"/>
    <s v="1:13:28"/>
    <x v="83"/>
  </r>
  <r>
    <x v="6"/>
    <s v="Krūmiņš"/>
    <s v="Ilgonis"/>
    <x v="117"/>
    <s v="1:27:51"/>
    <x v="58"/>
  </r>
  <r>
    <x v="2"/>
    <s v="Krūmiņš"/>
    <s v="Normunds"/>
    <x v="165"/>
    <s v="1:16:37"/>
    <x v="151"/>
  </r>
  <r>
    <x v="2"/>
    <s v="Krūmiņš"/>
    <s v="Artis"/>
    <x v="14"/>
    <s v="1:03:08"/>
    <x v="102"/>
  </r>
  <r>
    <x v="2"/>
    <s v="Krustiņš"/>
    <s v="Eduards"/>
    <x v="1"/>
    <s v="1:15:54"/>
    <x v="74"/>
  </r>
  <r>
    <x v="5"/>
    <s v="Kublačovs"/>
    <s v="Imants"/>
    <x v="1"/>
    <s v="1:10:05"/>
    <x v="54"/>
  </r>
  <r>
    <x v="1"/>
    <s v="Kubliņš"/>
    <s v="Artis"/>
    <x v="1"/>
    <s v="1:23:14"/>
    <x v="4"/>
  </r>
  <r>
    <x v="4"/>
    <s v="Kudrašs"/>
    <s v="Kristaps"/>
    <x v="0"/>
    <s v="1:23:00"/>
    <x v="51"/>
  </r>
  <r>
    <x v="3"/>
    <s v="Kukaine"/>
    <s v="Kristīne"/>
    <x v="15"/>
    <s v="1:08:13"/>
    <x v="206"/>
  </r>
  <r>
    <x v="5"/>
    <s v="Kulago"/>
    <s v="Sergejs"/>
    <x v="40"/>
    <s v="1:07:09"/>
    <x v="113"/>
  </r>
  <r>
    <x v="0"/>
    <s v="Kulago"/>
    <s v="Jeļena"/>
    <x v="40"/>
    <s v="1:24:04"/>
    <x v="101"/>
  </r>
  <r>
    <x v="3"/>
    <s v="Kulago"/>
    <s v="Natālija"/>
    <x v="40"/>
    <s v="1:48:45"/>
    <x v="144"/>
  </r>
  <r>
    <x v="1"/>
    <s v="Kulpe"/>
    <s v="Valdis"/>
    <x v="50"/>
    <s v="1:18:46"/>
    <x v="151"/>
  </r>
  <r>
    <x v="2"/>
    <s v="Kupča"/>
    <s v="Broņislavs"/>
    <x v="166"/>
    <s v="1:00:03"/>
    <x v="207"/>
  </r>
  <r>
    <x v="7"/>
    <s v="Kupča"/>
    <s v="Eduards"/>
    <x v="30"/>
    <s v="1:39:02"/>
    <x v="28"/>
  </r>
  <r>
    <x v="1"/>
    <s v="Kupčs"/>
    <s v="Mārtiņš"/>
    <x v="10"/>
    <s v="1:18:28"/>
    <x v="196"/>
  </r>
  <r>
    <x v="1"/>
    <s v="Kuplis"/>
    <s v="Andris"/>
    <x v="101"/>
    <s v="1:18:37"/>
    <x v="151"/>
  </r>
  <r>
    <x v="1"/>
    <s v="Kuplis"/>
    <s v="Aivars"/>
    <x v="101"/>
    <s v="1:26:40"/>
    <x v="122"/>
  </r>
  <r>
    <x v="8"/>
    <s v="Kuprišs"/>
    <s v="Kaspars"/>
    <x v="1"/>
    <s v="1:39:28"/>
    <x v="163"/>
  </r>
  <r>
    <x v="2"/>
    <s v="Kurmeļjevs"/>
    <s v="Kristaps"/>
    <x v="1"/>
    <s v="0:57:38"/>
    <x v="21"/>
  </r>
  <r>
    <x v="2"/>
    <s v="Kurmeļjevs"/>
    <s v="Andris"/>
    <x v="1"/>
    <s v="1:20:34"/>
    <x v="51"/>
  </r>
  <r>
    <x v="0"/>
    <s v="Kursiša"/>
    <s v="Sandra"/>
    <x v="1"/>
    <s v="2:07:30"/>
    <x v="18"/>
  </r>
  <r>
    <x v="1"/>
    <s v="Kursītis"/>
    <s v="Andis"/>
    <x v="167"/>
    <s v="1:13:25"/>
    <x v="83"/>
  </r>
  <r>
    <x v="3"/>
    <s v="Kusiņa"/>
    <s v="Benita"/>
    <x v="146"/>
    <s v="1:26:35"/>
    <x v="42"/>
  </r>
  <r>
    <x v="2"/>
    <s v="Kusiņš"/>
    <s v="Jurģis"/>
    <x v="168"/>
    <s v="1:33:58"/>
    <x v="161"/>
  </r>
  <r>
    <x v="3"/>
    <s v="Kušķe"/>
    <s v="Renāte"/>
    <x v="169"/>
    <s v="1:32:19"/>
    <x v="138"/>
  </r>
  <r>
    <x v="3"/>
    <s v="Kvašņova"/>
    <s v="Vita"/>
    <x v="170"/>
    <s v="1:36:32"/>
    <x v="154"/>
  </r>
  <r>
    <x v="1"/>
    <s v="Ķemme"/>
    <s v="Mārtiņš"/>
    <x v="1"/>
    <s v="1:52:22"/>
    <x v="23"/>
  </r>
  <r>
    <x v="13"/>
    <s v="Ķemme"/>
    <s v="Kristaps"/>
    <x v="0"/>
    <s v="1:52:21"/>
    <x v="23"/>
  </r>
  <r>
    <x v="1"/>
    <s v="Ķerpe"/>
    <s v="Dzintars"/>
    <x v="1"/>
    <s v="1:29:38"/>
    <x v="153"/>
  </r>
  <r>
    <x v="3"/>
    <s v="Ķiece"/>
    <s v="Laima"/>
    <x v="1"/>
    <s v="1:35:01"/>
    <x v="67"/>
  </r>
  <r>
    <x v="5"/>
    <s v="Ķiecis"/>
    <s v="Olavs"/>
    <x v="1"/>
    <s v="1:30:51"/>
    <x v="87"/>
  </r>
  <r>
    <x v="1"/>
    <s v="Ķiepe"/>
    <s v="Nauris"/>
    <x v="40"/>
    <s v="1:04:31"/>
    <x v="167"/>
  </r>
  <r>
    <x v="2"/>
    <s v="Ķikuts"/>
    <s v="Jānis"/>
    <x v="1"/>
    <s v="1:08:25"/>
    <x v="29"/>
  </r>
  <r>
    <x v="5"/>
    <s v="Ķikuts"/>
    <s v="Didzis"/>
    <x v="6"/>
    <s v="1:20:20"/>
    <x v="84"/>
  </r>
  <r>
    <x v="2"/>
    <s v="Ķipurs"/>
    <s v="Jānis"/>
    <x v="51"/>
    <s v="1:12:59"/>
    <x v="96"/>
  </r>
  <r>
    <x v="2"/>
    <s v="Ķirsons"/>
    <s v="Agris"/>
    <x v="1"/>
    <s v="1:20:14"/>
    <x v="195"/>
  </r>
  <r>
    <x v="3"/>
    <s v="Ķīse"/>
    <s v="Irita"/>
    <x v="1"/>
    <s v="1:12:58"/>
    <x v="96"/>
  </r>
  <r>
    <x v="2"/>
    <s v="Ķude"/>
    <s v="Vilnis"/>
    <x v="45"/>
    <s v="1:16:21"/>
    <x v="196"/>
  </r>
  <r>
    <x v="5"/>
    <s v="Labeckis"/>
    <s v="Edvīns"/>
    <x v="1"/>
    <s v="1:23:08"/>
    <x v="4"/>
  </r>
  <r>
    <x v="3"/>
    <s v="Lāce"/>
    <s v="Agnese"/>
    <x v="171"/>
    <s v="1:50:46"/>
    <x v="72"/>
  </r>
  <r>
    <x v="3"/>
    <s v="Lāce"/>
    <s v="Ieva"/>
    <x v="172"/>
    <s v="1:13:20"/>
    <x v="93"/>
  </r>
  <r>
    <x v="2"/>
    <s v="Lācis"/>
    <s v="Kaspars"/>
    <x v="171"/>
    <s v="1:14:31"/>
    <x v="12"/>
  </r>
  <r>
    <x v="2"/>
    <s v="Lācis"/>
    <s v="Edmunds"/>
    <x v="173"/>
    <s v="1:07:33"/>
    <x v="208"/>
  </r>
  <r>
    <x v="2"/>
    <s v="Lācis"/>
    <s v="Nikolajs"/>
    <x v="173"/>
    <s v="1:07:31"/>
    <x v="41"/>
  </r>
  <r>
    <x v="2"/>
    <s v="Lācis"/>
    <s v="Edvīns"/>
    <x v="1"/>
    <s v="1:16:01"/>
    <x v="74"/>
  </r>
  <r>
    <x v="15"/>
    <s v="Lagzdiņš"/>
    <s v="Gatis"/>
    <x v="174"/>
    <s v="1:12:26"/>
    <x v="19"/>
  </r>
  <r>
    <x v="2"/>
    <s v="Laiva"/>
    <s v="Mairis"/>
    <x v="5"/>
    <s v="1:35:08"/>
    <x v="47"/>
  </r>
  <r>
    <x v="2"/>
    <s v="Laiva"/>
    <s v="Mairis"/>
    <x v="5"/>
    <s v="1:32:05"/>
    <x v="145"/>
  </r>
  <r>
    <x v="2"/>
    <s v="Lamberts"/>
    <s v="Emīls"/>
    <x v="175"/>
    <s v="1:22:17"/>
    <x v="108"/>
  </r>
  <r>
    <x v="3"/>
    <s v="Lanceniece"/>
    <s v="Vita"/>
    <x v="1"/>
    <s v="1:26:19"/>
    <x v="147"/>
  </r>
  <r>
    <x v="2"/>
    <s v="Lange"/>
    <s v="Jānis"/>
    <x v="7"/>
    <s v="1:26:05"/>
    <x v="147"/>
  </r>
  <r>
    <x v="2"/>
    <s v="Lapiņš"/>
    <s v="Guntis"/>
    <x v="176"/>
    <s v="1:16:53"/>
    <x v="14"/>
  </r>
  <r>
    <x v="1"/>
    <s v="Lapsa"/>
    <s v="Sergejs"/>
    <x v="101"/>
    <s v="1:13:29"/>
    <x v="40"/>
  </r>
  <r>
    <x v="2"/>
    <s v="Lāriņš"/>
    <s v="Kārlis"/>
    <x v="56"/>
    <s v="1:21:45"/>
    <x v="101"/>
  </r>
  <r>
    <x v="2"/>
    <s v="Lasks"/>
    <s v="Renārs"/>
    <x v="1"/>
    <s v="1:06:09"/>
    <x v="209"/>
  </r>
  <r>
    <x v="2"/>
    <s v="Lauriks m"/>
    <s v="Konstantīns"/>
    <x v="177"/>
    <s v="0:57:31"/>
    <x v="185"/>
  </r>
  <r>
    <x v="1"/>
    <s v="Lavišs"/>
    <s v="Aleksandrs"/>
    <x v="30"/>
    <s v="1:08:43"/>
    <x v="176"/>
  </r>
  <r>
    <x v="6"/>
    <s v="Lavrinovičs"/>
    <s v="Jānis"/>
    <x v="1"/>
    <s v="1:42:56"/>
    <x v="10"/>
  </r>
  <r>
    <x v="16"/>
    <s v="Lazdāne"/>
    <s v="Santa"/>
    <x v="178"/>
    <s v="2:07:17"/>
    <x v="18"/>
  </r>
  <r>
    <x v="3"/>
    <s v="Lazdāne"/>
    <s v="Evita"/>
    <x v="9"/>
    <s v="1:41:18"/>
    <x v="15"/>
  </r>
  <r>
    <x v="1"/>
    <s v="Lazdāns"/>
    <s v="Jānis"/>
    <x v="178"/>
    <s v="1:20:17"/>
    <x v="117"/>
  </r>
  <r>
    <x v="2"/>
    <s v="Lazdiņš"/>
    <s v="Arnis"/>
    <x v="1"/>
    <s v="1:41:59"/>
    <x v="103"/>
  </r>
  <r>
    <x v="2"/>
    <s v="Lazdiņš"/>
    <s v="Arnis"/>
    <x v="33"/>
    <s v="1:41:59"/>
    <x v="103"/>
  </r>
  <r>
    <x v="2"/>
    <s v="Lebedevs"/>
    <s v="Genadijs"/>
    <x v="1"/>
    <s v="1:16:35"/>
    <x v="151"/>
  </r>
  <r>
    <x v="1"/>
    <s v="Lediņš"/>
    <s v="Pēteris"/>
    <x v="179"/>
    <s v="1:20:31"/>
    <x v="84"/>
  </r>
  <r>
    <x v="3"/>
    <s v="Leiboma"/>
    <s v="Agita"/>
    <x v="1"/>
    <s v="1:42:13"/>
    <x v="103"/>
  </r>
  <r>
    <x v="3"/>
    <s v="Leilande"/>
    <s v="Krista"/>
    <x v="74"/>
    <s v="2:04:04"/>
    <x v="18"/>
  </r>
  <r>
    <x v="10"/>
    <s v="Leimanis"/>
    <s v="Kārlis"/>
    <x v="180"/>
    <s v="1:39:09"/>
    <x v="48"/>
  </r>
  <r>
    <x v="16"/>
    <s v="Leitāne"/>
    <s v="Laima"/>
    <x v="1"/>
    <s v="1:52:54"/>
    <x v="136"/>
  </r>
  <r>
    <x v="5"/>
    <s v="Lejiņš"/>
    <s v="Andis"/>
    <x v="1"/>
    <s v="1:10:45"/>
    <x v="20"/>
  </r>
  <r>
    <x v="1"/>
    <s v="Lejiņš"/>
    <s v="Mārtiņš"/>
    <x v="1"/>
    <s v="1:09:30"/>
    <x v="208"/>
  </r>
  <r>
    <x v="5"/>
    <s v="Lejiņš"/>
    <s v="Raitis"/>
    <x v="1"/>
    <s v="1:31:22"/>
    <x v="25"/>
  </r>
  <r>
    <x v="1"/>
    <s v="Lejiņš"/>
    <s v="Dzintars"/>
    <x v="24"/>
    <s v="1:08:21"/>
    <x v="33"/>
  </r>
  <r>
    <x v="9"/>
    <s v="Lejiņš"/>
    <s v="Viesturs"/>
    <x v="24"/>
    <s v="1:39:21"/>
    <x v="163"/>
  </r>
  <r>
    <x v="2"/>
    <s v="Lejnieks"/>
    <s v="Lauris"/>
    <x v="50"/>
    <s v="1:07:01"/>
    <x v="182"/>
  </r>
  <r>
    <x v="2"/>
    <s v="Lepers"/>
    <s v="Sergejs"/>
    <x v="59"/>
    <s v="0:57:30"/>
    <x v="185"/>
  </r>
  <r>
    <x v="17"/>
    <s v="Lepse"/>
    <s v="Ināra"/>
    <x v="33"/>
    <s v="3:04:34"/>
    <x v="140"/>
  </r>
  <r>
    <x v="3"/>
    <s v="Letapure"/>
    <s v="Iveta"/>
    <x v="50"/>
    <s v="1:45:16"/>
    <x v="146"/>
  </r>
  <r>
    <x v="2"/>
    <s v="Levš"/>
    <s v="Ivars"/>
    <x v="109"/>
    <s v="0:58:29"/>
    <x v="210"/>
  </r>
  <r>
    <x v="2"/>
    <s v="Lezdiņš"/>
    <s v="Ainārs"/>
    <x v="0"/>
    <s v="1:26:07"/>
    <x v="147"/>
  </r>
  <r>
    <x v="0"/>
    <s v="Līce"/>
    <s v="Una"/>
    <x v="181"/>
    <s v="1:24:18"/>
    <x v="101"/>
  </r>
  <r>
    <x v="13"/>
    <s v="Līcis"/>
    <s v="Kristiāns"/>
    <x v="1"/>
    <s v="1:47:15"/>
    <x v="168"/>
  </r>
  <r>
    <x v="5"/>
    <s v="Līcis"/>
    <s v="Valts"/>
    <x v="1"/>
    <s v="1:14:49"/>
    <x v="49"/>
  </r>
  <r>
    <x v="3"/>
    <s v="Līduma"/>
    <s v="Inga"/>
    <x v="1"/>
    <s v="1:30:15"/>
    <x v="140"/>
  </r>
  <r>
    <x v="1"/>
    <s v="Lielgalvis"/>
    <s v="Edgars"/>
    <x v="1"/>
    <s v="1:21:50"/>
    <x v="73"/>
  </r>
  <r>
    <x v="1"/>
    <s v="Lielgalvis"/>
    <s v="Normunds"/>
    <x v="1"/>
    <s v="1:25:51"/>
    <x v="86"/>
  </r>
  <r>
    <x v="2"/>
    <s v="Lielpēteris"/>
    <s v="Ivars"/>
    <x v="1"/>
    <s v="1:08:11"/>
    <x v="206"/>
  </r>
  <r>
    <x v="15"/>
    <s v="Liepa"/>
    <s v="Aigars"/>
    <x v="1"/>
    <s v="1:11:20"/>
    <x v="78"/>
  </r>
  <r>
    <x v="1"/>
    <s v="Liepa"/>
    <s v="Māris"/>
    <x v="96"/>
    <s v="1:16:57"/>
    <x v="125"/>
  </r>
  <r>
    <x v="3"/>
    <s v="Liepiņa"/>
    <s v="Sandra"/>
    <x v="0"/>
    <s v="2:15:49"/>
    <x v="211"/>
  </r>
  <r>
    <x v="3"/>
    <s v="Liepiņa"/>
    <s v="Ieva"/>
    <x v="1"/>
    <s v="1:11:35"/>
    <x v="40"/>
  </r>
  <r>
    <x v="3"/>
    <s v="Liepiņa"/>
    <s v="Intra"/>
    <x v="1"/>
    <s v="1:31:47"/>
    <x v="145"/>
  </r>
  <r>
    <x v="3"/>
    <s v="Liepiņa"/>
    <s v="Katrīna"/>
    <x v="1"/>
    <s v="1:33:50"/>
    <x v="161"/>
  </r>
  <r>
    <x v="2"/>
    <s v="Liepiņš"/>
    <s v="Emīls"/>
    <x v="182"/>
    <s v="0:57:00"/>
    <x v="180"/>
  </r>
  <r>
    <x v="1"/>
    <s v="Liepiņš"/>
    <s v="Jānis"/>
    <x v="183"/>
    <s v="1:12:54"/>
    <x v="169"/>
  </r>
  <r>
    <x v="13"/>
    <s v="Liepiņš"/>
    <s v="Kristaps"/>
    <x v="184"/>
    <s v="1:13:46"/>
    <x v="92"/>
  </r>
  <r>
    <x v="2"/>
    <s v="Liepiņš"/>
    <s v="Rimants"/>
    <x v="1"/>
    <s v="1:17:23"/>
    <x v="98"/>
  </r>
  <r>
    <x v="2"/>
    <s v="Liepiņš"/>
    <s v="Madars"/>
    <x v="1"/>
    <s v="1:15:17"/>
    <x v="71"/>
  </r>
  <r>
    <x v="2"/>
    <s v="Liepiņš"/>
    <s v="Edgars"/>
    <x v="1"/>
    <s v="1:08:33"/>
    <x v="29"/>
  </r>
  <r>
    <x v="2"/>
    <s v="Liepiņš"/>
    <s v="Jānis"/>
    <x v="9"/>
    <s v="1:44:46"/>
    <x v="27"/>
  </r>
  <r>
    <x v="2"/>
    <s v="Liepiņš"/>
    <s v="Niklavs"/>
    <x v="180"/>
    <s v="1:07:19"/>
    <x v="41"/>
  </r>
  <r>
    <x v="3"/>
    <s v="Līkuma"/>
    <s v="Agnese"/>
    <x v="5"/>
    <s v="1:49:40"/>
    <x v="136"/>
  </r>
  <r>
    <x v="2"/>
    <s v="Linde"/>
    <s v="Juris"/>
    <x v="63"/>
    <s v="1:23:00"/>
    <x v="143"/>
  </r>
  <r>
    <x v="2"/>
    <s v="Locis"/>
    <s v="Aivars"/>
    <x v="22"/>
    <s v="2:21:40"/>
    <x v="129"/>
  </r>
  <r>
    <x v="3"/>
    <s v="Logina"/>
    <s v="Gita"/>
    <x v="1"/>
    <s v="1:37:56"/>
    <x v="212"/>
  </r>
  <r>
    <x v="2"/>
    <s v="Logins"/>
    <s v="Reinis-Augusts"/>
    <x v="1"/>
    <s v="1:40:48"/>
    <x v="134"/>
  </r>
  <r>
    <x v="2"/>
    <s v="Loks"/>
    <s v="Jānis"/>
    <x v="185"/>
    <s v="1:16:45"/>
    <x v="14"/>
  </r>
  <r>
    <x v="2"/>
    <s v="Loks"/>
    <s v="Kārlis"/>
    <x v="54"/>
    <s v="1:41:27"/>
    <x v="52"/>
  </r>
  <r>
    <x v="2"/>
    <s v="Lopatko"/>
    <s v="Māris"/>
    <x v="186"/>
    <s v="1:13:52"/>
    <x v="45"/>
  </r>
  <r>
    <x v="2"/>
    <s v="Lubāns"/>
    <s v="Andris"/>
    <x v="33"/>
    <s v="1:09:26"/>
    <x v="78"/>
  </r>
  <r>
    <x v="2"/>
    <s v="Lukjanovs"/>
    <s v="Valērijs"/>
    <x v="9"/>
    <s v="1:12:47"/>
    <x v="49"/>
  </r>
  <r>
    <x v="2"/>
    <s v="Lurgins"/>
    <s v="Dmitrijs"/>
    <x v="187"/>
    <s v="1:06:35"/>
    <x v="31"/>
  </r>
  <r>
    <x v="3"/>
    <s v="Lūse"/>
    <s v="Linda"/>
    <x v="188"/>
    <s v="1:34:20"/>
    <x v="99"/>
  </r>
  <r>
    <x v="1"/>
    <s v="Lūsis"/>
    <s v="Kārlis"/>
    <x v="189"/>
    <s v="1:32:59"/>
    <x v="140"/>
  </r>
  <r>
    <x v="1"/>
    <s v="Lūsis"/>
    <s v="Māris"/>
    <x v="1"/>
    <s v="1:21:47"/>
    <x v="85"/>
  </r>
  <r>
    <x v="2"/>
    <s v="Lūsis"/>
    <s v="Ariks"/>
    <x v="120"/>
    <s v="1:06:51"/>
    <x v="176"/>
  </r>
  <r>
    <x v="2"/>
    <s v="Lūsis"/>
    <s v="Andis"/>
    <x v="1"/>
    <s v="1:12:32"/>
    <x v="55"/>
  </r>
  <r>
    <x v="2"/>
    <s v="Lūsis"/>
    <s v="Viesturs"/>
    <x v="1"/>
    <s v="1:04:53"/>
    <x v="155"/>
  </r>
  <r>
    <x v="2"/>
    <s v="Ļeonovs"/>
    <s v="Vladimirs"/>
    <x v="190"/>
    <s v="1:34:28"/>
    <x v="99"/>
  </r>
  <r>
    <x v="7"/>
    <s v="Ļevša"/>
    <s v="Anatolijs"/>
    <x v="109"/>
    <s v="1:39:29"/>
    <x v="163"/>
  </r>
  <r>
    <x v="2"/>
    <s v="Ļubickij"/>
    <s v="Sergejs"/>
    <x v="112"/>
    <s v="1:00:25"/>
    <x v="203"/>
  </r>
  <r>
    <x v="2"/>
    <s v="Magaziņš"/>
    <s v="Arnis"/>
    <x v="20"/>
    <s v="1:27:57"/>
    <x v="62"/>
  </r>
  <r>
    <x v="15"/>
    <s v="Magone"/>
    <s v="Edgars"/>
    <x v="35"/>
    <s v="1:15:19"/>
    <x v="93"/>
  </r>
  <r>
    <x v="2"/>
    <s v="Majors"/>
    <s v="Jānis"/>
    <x v="1"/>
    <s v="1:18:50"/>
    <x v="79"/>
  </r>
  <r>
    <x v="2"/>
    <s v="Majors"/>
    <s v="Valdis"/>
    <x v="1"/>
    <s v="1:03:10"/>
    <x v="102"/>
  </r>
  <r>
    <x v="2"/>
    <s v="Majors"/>
    <s v="Pēteris"/>
    <x v="1"/>
    <s v="1:13:28"/>
    <x v="17"/>
  </r>
  <r>
    <x v="2"/>
    <s v="Maķeļenoks"/>
    <s v="Jānis"/>
    <x v="28"/>
    <s v="2:41:15"/>
    <x v="213"/>
  </r>
  <r>
    <x v="1"/>
    <s v="Maķevics"/>
    <s v="Gatis"/>
    <x v="1"/>
    <s v="1:21:38"/>
    <x v="85"/>
  </r>
  <r>
    <x v="3"/>
    <s v="Maldere"/>
    <s v="Liāna"/>
    <x v="55"/>
    <s v="1:46:15"/>
    <x v="178"/>
  </r>
  <r>
    <x v="2"/>
    <s v="Malderis"/>
    <s v="Didzis"/>
    <x v="55"/>
    <s v="1:42:57"/>
    <x v="66"/>
  </r>
  <r>
    <x v="2"/>
    <s v="Malderis"/>
    <s v="Kalvis"/>
    <x v="55"/>
    <s v="1:42:57"/>
    <x v="66"/>
  </r>
  <r>
    <x v="3"/>
    <s v="Mālniece"/>
    <s v="Zande"/>
    <x v="51"/>
    <s v="1:14:38"/>
    <x v="12"/>
  </r>
  <r>
    <x v="2"/>
    <s v="Mālnieks"/>
    <s v="Roberts"/>
    <x v="1"/>
    <s v="1:17:11"/>
    <x v="157"/>
  </r>
  <r>
    <x v="3"/>
    <s v="Mantiņa"/>
    <s v="Luīze"/>
    <x v="1"/>
    <s v="1:27:44"/>
    <x v="24"/>
  </r>
  <r>
    <x v="2"/>
    <s v="Mantiņš"/>
    <s v="Imants"/>
    <x v="1"/>
    <s v="1:12:10"/>
    <x v="22"/>
  </r>
  <r>
    <x v="2"/>
    <s v="Mantiņš"/>
    <s v="Raimonds"/>
    <x v="1"/>
    <s v="1:32:53"/>
    <x v="5"/>
  </r>
  <r>
    <x v="1"/>
    <s v="Marais"/>
    <s v="Andris"/>
    <x v="191"/>
    <s v="1:18:26"/>
    <x v="196"/>
  </r>
  <r>
    <x v="1"/>
    <s v="Marčenkovs"/>
    <s v="Mareks"/>
    <x v="55"/>
    <s v="1:21:44"/>
    <x v="85"/>
  </r>
  <r>
    <x v="13"/>
    <s v="Marčenkovs"/>
    <s v="Armands"/>
    <x v="55"/>
    <s v="1:57:52"/>
    <x v="187"/>
  </r>
  <r>
    <x v="2"/>
    <s v="Markitāns"/>
    <s v="Agnis"/>
    <x v="26"/>
    <s v="1:08:01"/>
    <x v="54"/>
  </r>
  <r>
    <x v="2"/>
    <s v="Markss"/>
    <s v="Toms"/>
    <x v="192"/>
    <s v="0:59:56"/>
    <x v="75"/>
  </r>
  <r>
    <x v="2"/>
    <s v="Markss"/>
    <s v="Gundars"/>
    <x v="29"/>
    <s v="0:58:08"/>
    <x v="81"/>
  </r>
  <r>
    <x v="2"/>
    <s v="Martinsons"/>
    <s v="Andris"/>
    <x v="0"/>
    <s v="1:15:35"/>
    <x v="1"/>
  </r>
  <r>
    <x v="9"/>
    <s v="Matvejs"/>
    <s v="Māris"/>
    <x v="1"/>
    <s v="2:05:21"/>
    <x v="214"/>
  </r>
  <r>
    <x v="1"/>
    <s v="Maurāns"/>
    <s v="Ivars"/>
    <x v="1"/>
    <s v="1:45:16"/>
    <x v="103"/>
  </r>
  <r>
    <x v="2"/>
    <s v="Mazurs"/>
    <s v="Artūrs"/>
    <x v="193"/>
    <s v="1:15:59"/>
    <x v="74"/>
  </r>
  <r>
    <x v="2"/>
    <s v="Mazurs"/>
    <s v="Kaspars"/>
    <x v="194"/>
    <s v="1:14:19"/>
    <x v="111"/>
  </r>
  <r>
    <x v="2"/>
    <s v="Mazurs"/>
    <s v="Jānis"/>
    <x v="194"/>
    <s v="1:01:54"/>
    <x v="64"/>
  </r>
  <r>
    <x v="2"/>
    <s v="Mednis"/>
    <s v="Andrejs"/>
    <x v="1"/>
    <s v="1:03:14"/>
    <x v="102"/>
  </r>
  <r>
    <x v="2"/>
    <s v="Medvēģevs"/>
    <s v="Edmunds"/>
    <x v="1"/>
    <s v="1:18:15"/>
    <x v="84"/>
  </r>
  <r>
    <x v="0"/>
    <s v="Meldrāja"/>
    <s v="Raimonda"/>
    <x v="157"/>
    <s v="1:54:24"/>
    <x v="215"/>
  </r>
  <r>
    <x v="13"/>
    <s v="Meldrājs"/>
    <s v="Arvis"/>
    <x v="157"/>
    <s v="1:41:37"/>
    <x v="135"/>
  </r>
  <r>
    <x v="5"/>
    <s v="Meldrājs"/>
    <s v="Gundars"/>
    <x v="157"/>
    <s v="1:42:12"/>
    <x v="16"/>
  </r>
  <r>
    <x v="1"/>
    <s v="Melgalvis"/>
    <s v="Gatis"/>
    <x v="120"/>
    <s v="1:05:02"/>
    <x v="102"/>
  </r>
  <r>
    <x v="3"/>
    <s v="Meļņikovs"/>
    <s v="Ņikita"/>
    <x v="9"/>
    <s v="2:28:40"/>
    <x v="202"/>
  </r>
  <r>
    <x v="2"/>
    <s v="Meņģelis"/>
    <s v="Kristaps"/>
    <x v="1"/>
    <s v="1:02:11"/>
    <x v="90"/>
  </r>
  <r>
    <x v="2"/>
    <s v="Midegs"/>
    <s v="Mārcis"/>
    <x v="111"/>
    <s v="1:01:19"/>
    <x v="214"/>
  </r>
  <r>
    <x v="9"/>
    <s v="Mierkalns"/>
    <s v="Mārtiņš"/>
    <x v="97"/>
    <s v="1:38:54"/>
    <x v="28"/>
  </r>
  <r>
    <x v="2"/>
    <s v="Miezītis"/>
    <s v="Gints"/>
    <x v="120"/>
    <s v="1:11:15"/>
    <x v="83"/>
  </r>
  <r>
    <x v="1"/>
    <s v="Miglāns"/>
    <s v="Edgars"/>
    <x v="82"/>
    <s v="1:03:52"/>
    <x v="6"/>
  </r>
  <r>
    <x v="2"/>
    <s v="Mihailovs"/>
    <s v="Jevgenijs"/>
    <x v="87"/>
    <s v="1:01:42"/>
    <x v="177"/>
  </r>
  <r>
    <x v="2"/>
    <s v="Mihalovskis"/>
    <s v="Ēriks"/>
    <x v="55"/>
    <s v="1:30:59"/>
    <x v="110"/>
  </r>
  <r>
    <x v="3"/>
    <s v="Mikāne"/>
    <s v="Vita"/>
    <x v="168"/>
    <s v="1:36:49"/>
    <x v="60"/>
  </r>
  <r>
    <x v="2"/>
    <s v="Miķelsnons"/>
    <s v="Vilnis"/>
    <x v="40"/>
    <s v="1:16:17"/>
    <x v="196"/>
  </r>
  <r>
    <x v="2"/>
    <s v="Miķelsnons"/>
    <s v="Nilss"/>
    <x v="40"/>
    <s v="1:34:10"/>
    <x v="161"/>
  </r>
  <r>
    <x v="3"/>
    <s v="Miķelsone"/>
    <s v="Līva"/>
    <x v="10"/>
    <s v="1:48:26"/>
    <x v="144"/>
  </r>
  <r>
    <x v="0"/>
    <s v="Miķelsone"/>
    <s v="Maira"/>
    <x v="39"/>
    <s v="1:54:51"/>
    <x v="215"/>
  </r>
  <r>
    <x v="5"/>
    <s v="Miķelsons"/>
    <s v="Uldis"/>
    <x v="1"/>
    <s v="1:10:59"/>
    <x v="216"/>
  </r>
  <r>
    <x v="13"/>
    <s v="Miķelsons"/>
    <s v="Jānis"/>
    <x v="1"/>
    <s v="1:23:40"/>
    <x v="8"/>
  </r>
  <r>
    <x v="11"/>
    <s v="Miķelsons"/>
    <s v="Andris"/>
    <x v="33"/>
    <s v="1:48:47"/>
    <x v="217"/>
  </r>
  <r>
    <x v="2"/>
    <s v="Miķelsons"/>
    <s v="Lauris"/>
    <x v="1"/>
    <s v="1:11:38"/>
    <x v="40"/>
  </r>
  <r>
    <x v="2"/>
    <s v="Milovānovs"/>
    <s v="Igors"/>
    <x v="9"/>
    <s v="1:28:28"/>
    <x v="87"/>
  </r>
  <r>
    <x v="3"/>
    <s v="Miļūna"/>
    <s v="Arta"/>
    <x v="1"/>
    <s v="1:12:12"/>
    <x v="22"/>
  </r>
  <r>
    <x v="3"/>
    <s v="Misūne"/>
    <s v="Lauma"/>
    <x v="0"/>
    <s v="2:01:10"/>
    <x v="119"/>
  </r>
  <r>
    <x v="2"/>
    <s v="Misūns"/>
    <s v="Ainārs"/>
    <x v="0"/>
    <s v="2:01:28"/>
    <x v="61"/>
  </r>
  <r>
    <x v="5"/>
    <s v="Misūns"/>
    <s v="Atis"/>
    <x v="6"/>
    <s v="1:26:52"/>
    <x v="218"/>
  </r>
  <r>
    <x v="2"/>
    <s v="Mitans"/>
    <s v="Edvīns"/>
    <x v="26"/>
    <s v="1:17:00"/>
    <x v="157"/>
  </r>
  <r>
    <x v="3"/>
    <s v="Morzika"/>
    <s v="Baiba"/>
    <x v="55"/>
    <s v="1:27:14"/>
    <x v="153"/>
  </r>
  <r>
    <x v="2"/>
    <s v="Morziks"/>
    <s v="Elmārs"/>
    <x v="55"/>
    <s v="1:31:23"/>
    <x v="124"/>
  </r>
  <r>
    <x v="2"/>
    <s v="Mosins"/>
    <s v="Ivo"/>
    <x v="195"/>
    <s v="1:09:32"/>
    <x v="78"/>
  </r>
  <r>
    <x v="2"/>
    <s v="Mosins"/>
    <s v="Vasilijs"/>
    <x v="195"/>
    <s v="1:12:06"/>
    <x v="39"/>
  </r>
  <r>
    <x v="2"/>
    <s v="Mošenkovs"/>
    <s v="Kārlis"/>
    <x v="1"/>
    <s v="1:02:12"/>
    <x v="90"/>
  </r>
  <r>
    <x v="2"/>
    <s v="Mozga"/>
    <s v="Māris"/>
    <x v="50"/>
    <s v="1:16:23"/>
    <x v="151"/>
  </r>
  <r>
    <x v="1"/>
    <s v="Mozulis"/>
    <s v="Aivars"/>
    <x v="191"/>
    <s v="1:13:44"/>
    <x v="92"/>
  </r>
  <r>
    <x v="2"/>
    <s v="Mozulis"/>
    <s v="Jānis"/>
    <x v="124"/>
    <s v="1:36:32"/>
    <x v="154"/>
  </r>
  <r>
    <x v="2"/>
    <s v="Mucenieks"/>
    <s v="Andris"/>
    <x v="196"/>
    <s v="1:38:12"/>
    <x v="219"/>
  </r>
  <r>
    <x v="2"/>
    <s v="Mucenieks"/>
    <s v="Alberts"/>
    <x v="1"/>
    <s v="2:06:46"/>
    <x v="38"/>
  </r>
  <r>
    <x v="2"/>
    <s v="Mucenieks"/>
    <s v="Artis"/>
    <x v="196"/>
    <s v="1:38:10"/>
    <x v="219"/>
  </r>
  <r>
    <x v="2"/>
    <s v="Mucenieks"/>
    <s v="Armands"/>
    <x v="1"/>
    <s v="2:06:46"/>
    <x v="38"/>
  </r>
  <r>
    <x v="2"/>
    <s v="Mucenieks"/>
    <s v="Artūrs"/>
    <x v="1"/>
    <s v="1:23:15"/>
    <x v="7"/>
  </r>
  <r>
    <x v="1"/>
    <s v="Muižarājs"/>
    <s v="Sandis"/>
    <x v="102"/>
    <s v="1:24:05"/>
    <x v="101"/>
  </r>
  <r>
    <x v="5"/>
    <s v="Muižarājs"/>
    <s v="Anrijs"/>
    <x v="13"/>
    <s v="1:25:45"/>
    <x v="86"/>
  </r>
  <r>
    <x v="2"/>
    <s v="Muižnieks"/>
    <s v="Gatis"/>
    <x v="1"/>
    <s v="1:05:27"/>
    <x v="97"/>
  </r>
  <r>
    <x v="3"/>
    <s v="Murāne"/>
    <s v="Elīza"/>
    <x v="51"/>
    <s v="1:43:46"/>
    <x v="69"/>
  </r>
  <r>
    <x v="3"/>
    <s v="Murāne"/>
    <s v="Lāsma"/>
    <x v="51"/>
    <s v="1:20:39"/>
    <x v="51"/>
  </r>
  <r>
    <x v="2"/>
    <s v="Murāns"/>
    <s v="Kārlis"/>
    <x v="51"/>
    <s v="1:41:07"/>
    <x v="15"/>
  </r>
  <r>
    <x v="2"/>
    <s v="Murāns"/>
    <s v="Artis"/>
    <x v="51"/>
    <s v="1:41:08"/>
    <x v="15"/>
  </r>
  <r>
    <x v="2"/>
    <s v="Muravjovs"/>
    <s v="Mihails"/>
    <x v="22"/>
    <s v="1:44:53"/>
    <x v="27"/>
  </r>
  <r>
    <x v="2"/>
    <s v="Mūrmanis"/>
    <s v="Jānis"/>
    <x v="100"/>
    <s v="1:27:27"/>
    <x v="153"/>
  </r>
  <r>
    <x v="2"/>
    <s v="Mūrnieks"/>
    <s v="Ivars"/>
    <x v="50"/>
    <s v="1:08:28"/>
    <x v="29"/>
  </r>
  <r>
    <x v="3"/>
    <s v="Murovska"/>
    <s v="Lizete"/>
    <x v="1"/>
    <s v="1:13:02"/>
    <x v="96"/>
  </r>
  <r>
    <x v="1"/>
    <s v="Murovskis"/>
    <s v="Matīss"/>
    <x v="1"/>
    <s v="1:18:46"/>
    <x v="151"/>
  </r>
  <r>
    <x v="2"/>
    <s v="Murovskis"/>
    <s v="Jānis"/>
    <x v="1"/>
    <s v="1:34:57"/>
    <x v="67"/>
  </r>
  <r>
    <x v="3"/>
    <s v="Narnicka"/>
    <s v="Ginta"/>
    <x v="1"/>
    <s v="1:41:31"/>
    <x v="52"/>
  </r>
  <r>
    <x v="2"/>
    <s v="Narnickis"/>
    <s v="Andrejs"/>
    <x v="1"/>
    <s v="1:43:55"/>
    <x v="69"/>
  </r>
  <r>
    <x v="2"/>
    <s v="Nātra"/>
    <s v="Aivars"/>
    <x v="197"/>
    <s v="2:08:47"/>
    <x v="220"/>
  </r>
  <r>
    <x v="2"/>
    <s v="Naumovs"/>
    <s v="Juris"/>
    <x v="176"/>
    <s v="1:17:28"/>
    <x v="98"/>
  </r>
  <r>
    <x v="2"/>
    <s v="Naumovs"/>
    <s v="Dimitrijs"/>
    <x v="22"/>
    <s v="1:33:16"/>
    <x v="89"/>
  </r>
  <r>
    <x v="2"/>
    <s v="Nāzers"/>
    <s v="Juris"/>
    <x v="2"/>
    <s v="1:21:16"/>
    <x v="8"/>
  </r>
  <r>
    <x v="1"/>
    <s v="Neimanis"/>
    <s v="Jānis"/>
    <x v="1"/>
    <s v="1:20:06"/>
    <x v="117"/>
  </r>
  <r>
    <x v="12"/>
    <s v="Neimanis"/>
    <s v="Jānis"/>
    <x v="68"/>
    <s v="1:41:21"/>
    <x v="221"/>
  </r>
  <r>
    <x v="3"/>
    <s v="Nēliusa"/>
    <s v="Elīna"/>
    <x v="198"/>
    <s v="1:50:13"/>
    <x v="137"/>
  </r>
  <r>
    <x v="1"/>
    <s v="Nelsons"/>
    <s v="Māris"/>
    <x v="50"/>
    <s v="1:47:02"/>
    <x v="168"/>
  </r>
  <r>
    <x v="5"/>
    <s v="Nelsons"/>
    <s v="Uldis"/>
    <x v="103"/>
    <s v="1:40:50"/>
    <x v="212"/>
  </r>
  <r>
    <x v="3"/>
    <s v="Nemenjonoka"/>
    <s v="Vita"/>
    <x v="9"/>
    <s v="1:31:49"/>
    <x v="145"/>
  </r>
  <r>
    <x v="2"/>
    <s v="Nemenjonoks"/>
    <s v="Sergejs"/>
    <x v="9"/>
    <s v="1:31:49"/>
    <x v="145"/>
  </r>
  <r>
    <x v="1"/>
    <s v="Nemiro"/>
    <s v="Sergejs"/>
    <x v="9"/>
    <s v="1:24:13"/>
    <x v="101"/>
  </r>
  <r>
    <x v="1"/>
    <s v="Nerugals"/>
    <s v="Viktors"/>
    <x v="1"/>
    <s v="1:09:33"/>
    <x v="208"/>
  </r>
  <r>
    <x v="1"/>
    <s v="Nete"/>
    <s v="Sandis"/>
    <x v="1"/>
    <s v="1:09:40"/>
    <x v="208"/>
  </r>
  <r>
    <x v="1"/>
    <s v="Niedols"/>
    <s v="Andris"/>
    <x v="1"/>
    <s v="2:00:38"/>
    <x v="37"/>
  </r>
  <r>
    <x v="2"/>
    <s v="Niedra"/>
    <s v="Renārs"/>
    <x v="1"/>
    <s v="1:06:28"/>
    <x v="31"/>
  </r>
  <r>
    <x v="10"/>
    <s v="Nikolajenko"/>
    <s v="Maksims"/>
    <x v="52"/>
    <s v="1:39:18"/>
    <x v="48"/>
  </r>
  <r>
    <x v="13"/>
    <s v="Nikolajevs"/>
    <s v="Jānis"/>
    <x v="26"/>
    <s v="1:14:14"/>
    <x v="22"/>
  </r>
  <r>
    <x v="2"/>
    <s v="Nikolajevs"/>
    <s v="Vladlens"/>
    <x v="146"/>
    <s v="1:41:57"/>
    <x v="103"/>
  </r>
  <r>
    <x v="2"/>
    <s v="Nikoluškins"/>
    <s v="Raimonds"/>
    <x v="1"/>
    <s v="1:11:40"/>
    <x v="40"/>
  </r>
  <r>
    <x v="13"/>
    <s v="Nikoņenko"/>
    <s v="Valdis"/>
    <x v="199"/>
    <s v="2:05:42"/>
    <x v="183"/>
  </r>
  <r>
    <x v="5"/>
    <s v="Nītiņš"/>
    <s v="Valdis"/>
    <x v="50"/>
    <s v="1:11:22"/>
    <x v="78"/>
  </r>
  <r>
    <x v="2"/>
    <s v="Nodievs"/>
    <s v="Armands"/>
    <x v="51"/>
    <s v="1:27:49"/>
    <x v="24"/>
  </r>
  <r>
    <x v="2"/>
    <s v="Norberts"/>
    <s v="Rikards"/>
    <x v="200"/>
    <s v="1:07:04"/>
    <x v="182"/>
  </r>
  <r>
    <x v="3"/>
    <s v="Noreika"/>
    <s v="Sigita"/>
    <x v="1"/>
    <s v="1:34:17"/>
    <x v="99"/>
  </r>
  <r>
    <x v="5"/>
    <s v="Noreiks"/>
    <s v="Gatis"/>
    <x v="1"/>
    <s v="1:09:47"/>
    <x v="91"/>
  </r>
  <r>
    <x v="4"/>
    <s v="Noreiks"/>
    <s v="Nauris"/>
    <x v="1"/>
    <s v="1:14:11"/>
    <x v="39"/>
  </r>
  <r>
    <x v="3"/>
    <s v="Noriņa"/>
    <s v="Dace"/>
    <x v="201"/>
    <s v="1:17:15"/>
    <x v="98"/>
  </r>
  <r>
    <x v="3"/>
    <s v="Ņikrasova"/>
    <s v="Olga"/>
    <x v="9"/>
    <s v="2:14:07"/>
    <x v="222"/>
  </r>
  <r>
    <x v="3"/>
    <s v="Odziņa"/>
    <s v="Irīna"/>
    <x v="1"/>
    <s v="1:27:43"/>
    <x v="24"/>
  </r>
  <r>
    <x v="2"/>
    <s v="Olders"/>
    <s v="Dainis"/>
    <x v="1"/>
    <s v="1:48:42"/>
    <x v="144"/>
  </r>
  <r>
    <x v="2"/>
    <s v="Opmanis"/>
    <s v="Elvis"/>
    <x v="108"/>
    <s v="2:01:02"/>
    <x v="119"/>
  </r>
  <r>
    <x v="2"/>
    <s v="Opmanis"/>
    <s v="Ainis"/>
    <x v="108"/>
    <s v="2:01:03"/>
    <x v="119"/>
  </r>
  <r>
    <x v="2"/>
    <s v="Orniņš"/>
    <s v="Jānis"/>
    <x v="202"/>
    <s v="1:15:34"/>
    <x v="1"/>
  </r>
  <r>
    <x v="2"/>
    <s v="Osaulenko"/>
    <s v="Jevgēnijs"/>
    <x v="1"/>
    <s v="1:28:04"/>
    <x v="62"/>
  </r>
  <r>
    <x v="5"/>
    <s v="Osītis"/>
    <s v="Dzintars"/>
    <x v="60"/>
    <s v="1:02:42"/>
    <x v="223"/>
  </r>
  <r>
    <x v="2"/>
    <s v="Ošenieks"/>
    <s v="Jānis"/>
    <x v="0"/>
    <s v="1:21:32"/>
    <x v="95"/>
  </r>
  <r>
    <x v="3"/>
    <s v="Ošiņa"/>
    <s v="Ilze"/>
    <x v="1"/>
    <s v="1:43:54"/>
    <x v="69"/>
  </r>
  <r>
    <x v="2"/>
    <s v="Ošs"/>
    <s v="Julijs"/>
    <x v="1"/>
    <s v="1:15:05"/>
    <x v="94"/>
  </r>
  <r>
    <x v="2"/>
    <s v="Ozers"/>
    <s v="Kaspars"/>
    <x v="1"/>
    <s v="0:58:42"/>
    <x v="224"/>
  </r>
  <r>
    <x v="3"/>
    <s v="Ozola"/>
    <s v="Ineta"/>
    <x v="1"/>
    <s v="1:31:16"/>
    <x v="110"/>
  </r>
  <r>
    <x v="0"/>
    <s v="Ozoliņa"/>
    <s v="Ilona"/>
    <x v="50"/>
    <s v="2:06:52"/>
    <x v="133"/>
  </r>
  <r>
    <x v="3"/>
    <s v="Ozoliņa"/>
    <s v="Lilita"/>
    <x v="50"/>
    <s v="1:56:32"/>
    <x v="159"/>
  </r>
  <r>
    <x v="3"/>
    <s v="Ozoliņa"/>
    <s v="Ārija"/>
    <x v="99"/>
    <s v="1:21:46"/>
    <x v="101"/>
  </r>
  <r>
    <x v="3"/>
    <s v="Ozoliņa"/>
    <s v="Astra"/>
    <x v="1"/>
    <s v="1:31:16"/>
    <x v="110"/>
  </r>
  <r>
    <x v="3"/>
    <s v="Ozoliņa"/>
    <s v="Sabīne"/>
    <x v="1"/>
    <s v="1:23:36"/>
    <x v="86"/>
  </r>
  <r>
    <x v="2"/>
    <s v="Ozoliņš"/>
    <s v="Renis"/>
    <x v="171"/>
    <s v="1:19:05"/>
    <x v="107"/>
  </r>
  <r>
    <x v="15"/>
    <s v="Ozoliņš"/>
    <s v="Gunārs"/>
    <x v="13"/>
    <s v="1:07:41"/>
    <x v="158"/>
  </r>
  <r>
    <x v="15"/>
    <s v="Ozoliņš"/>
    <s v="Uldis"/>
    <x v="101"/>
    <s v="1:06:09"/>
    <x v="44"/>
  </r>
  <r>
    <x v="5"/>
    <s v="Ozoliņš"/>
    <s v="Ainārs"/>
    <x v="101"/>
    <s v="1:07:52"/>
    <x v="56"/>
  </r>
  <r>
    <x v="4"/>
    <s v="Ozoliņš"/>
    <s v="Arnis"/>
    <x v="13"/>
    <s v="1:12:38"/>
    <x v="198"/>
  </r>
  <r>
    <x v="4"/>
    <s v="Ozoliņš"/>
    <s v="Ritvars"/>
    <x v="1"/>
    <s v="1:18:18"/>
    <x v="196"/>
  </r>
  <r>
    <x v="5"/>
    <s v="Ozoliņš"/>
    <s v="Armands"/>
    <x v="1"/>
    <s v="1:40:02"/>
    <x v="225"/>
  </r>
  <r>
    <x v="1"/>
    <s v="Ozoliņš"/>
    <s v="Arvīds"/>
    <x v="50"/>
    <s v="1:45:50"/>
    <x v="80"/>
  </r>
  <r>
    <x v="2"/>
    <s v="Ozoliņš"/>
    <s v="Andrejs"/>
    <x v="40"/>
    <s v="1:03:01"/>
    <x v="2"/>
  </r>
  <r>
    <x v="2"/>
    <s v="Ozoliņš"/>
    <s v="Mārtiņš"/>
    <x v="203"/>
    <s v="1:26:47"/>
    <x v="192"/>
  </r>
  <r>
    <x v="2"/>
    <s v="Ozoliņš"/>
    <s v="Sarmis"/>
    <x v="9"/>
    <s v="2:11:43"/>
    <x v="226"/>
  </r>
  <r>
    <x v="2"/>
    <s v="Ozoliņš"/>
    <s v="Dzintars"/>
    <x v="1"/>
    <s v="0:57:25"/>
    <x v="185"/>
  </r>
  <r>
    <x v="1"/>
    <s v="Ozols"/>
    <s v="Jānis"/>
    <x v="23"/>
    <s v="1:06:46"/>
    <x v="155"/>
  </r>
  <r>
    <x v="13"/>
    <s v="Ozols"/>
    <s v="Kristers"/>
    <x v="26"/>
    <s v="1:54:39"/>
    <x v="215"/>
  </r>
  <r>
    <x v="5"/>
    <s v="Ozols"/>
    <s v="Raivo"/>
    <x v="26"/>
    <s v="1:13:18"/>
    <x v="83"/>
  </r>
  <r>
    <x v="6"/>
    <s v="Ozols"/>
    <s v="Edgars"/>
    <x v="0"/>
    <s v="1:24:20"/>
    <x v="101"/>
  </r>
  <r>
    <x v="2"/>
    <s v="Ozols"/>
    <s v="Lauris"/>
    <x v="3"/>
    <s v="1:02:27"/>
    <x v="120"/>
  </r>
  <r>
    <x v="2"/>
    <s v="Ozols"/>
    <s v="Mārtiņš"/>
    <x v="3"/>
    <s v="1:01:47"/>
    <x v="64"/>
  </r>
  <r>
    <x v="2"/>
    <s v="Ozols"/>
    <s v="Guntars"/>
    <x v="1"/>
    <s v="1:13:39"/>
    <x v="17"/>
  </r>
  <r>
    <x v="2"/>
    <s v="Ozols"/>
    <s v="Kārlis"/>
    <x v="1"/>
    <s v="1:34:23"/>
    <x v="99"/>
  </r>
  <r>
    <x v="2"/>
    <s v="Ozols"/>
    <s v="Matīss"/>
    <x v="1"/>
    <s v="1:20:40"/>
    <x v="51"/>
  </r>
  <r>
    <x v="2"/>
    <s v="Ozols"/>
    <s v="Edgars"/>
    <x v="1"/>
    <s v="1:03:16"/>
    <x v="227"/>
  </r>
  <r>
    <x v="2"/>
    <s v="Ozols"/>
    <s v="Jānis"/>
    <x v="1"/>
    <s v="1:15:22"/>
    <x v="71"/>
  </r>
  <r>
    <x v="1"/>
    <s v="Paegle"/>
    <s v="Aigars"/>
    <x v="204"/>
    <s v="1:19:14"/>
    <x v="157"/>
  </r>
  <r>
    <x v="1"/>
    <s v="Paegle"/>
    <s v="Armands"/>
    <x v="204"/>
    <s v="1:04:38"/>
    <x v="167"/>
  </r>
  <r>
    <x v="3"/>
    <s v="Paegle"/>
    <s v="Ieva"/>
    <x v="1"/>
    <s v="1:15:48"/>
    <x v="1"/>
  </r>
  <r>
    <x v="3"/>
    <s v="Paegle"/>
    <s v="Zane"/>
    <x v="203"/>
    <s v="1:20:57"/>
    <x v="4"/>
  </r>
  <r>
    <x v="2"/>
    <s v="Paeglis"/>
    <s v="Zigmunds"/>
    <x v="0"/>
    <s v="1:29:58"/>
    <x v="205"/>
  </r>
  <r>
    <x v="2"/>
    <s v="Paeglis"/>
    <s v="Tālis"/>
    <x v="203"/>
    <s v="0:59:06"/>
    <x v="204"/>
  </r>
  <r>
    <x v="2"/>
    <s v="Paeglis"/>
    <s v="Jānis"/>
    <x v="1"/>
    <s v="1:01:51"/>
    <x v="64"/>
  </r>
  <r>
    <x v="2"/>
    <s v="Paeglis"/>
    <s v="Aldis"/>
    <x v="1"/>
    <s v="1:16:24"/>
    <x v="151"/>
  </r>
  <r>
    <x v="2"/>
    <s v="Paije"/>
    <s v="Vilnis"/>
    <x v="205"/>
    <s v="1:29:43"/>
    <x v="76"/>
  </r>
  <r>
    <x v="1"/>
    <s v="Pakulis"/>
    <s v="Jānis"/>
    <x v="1"/>
    <s v="1:10:01"/>
    <x v="54"/>
  </r>
  <r>
    <x v="5"/>
    <s v="Panders"/>
    <s v="Edvīns"/>
    <x v="1"/>
    <s v="1:17:57"/>
    <x v="1"/>
  </r>
  <r>
    <x v="4"/>
    <s v="Panders"/>
    <s v="Edijs"/>
    <x v="1"/>
    <s v="1:29:46"/>
    <x v="153"/>
  </r>
  <r>
    <x v="10"/>
    <s v="Parings"/>
    <s v="Ervīns"/>
    <x v="118"/>
    <s v="1:38:45"/>
    <x v="35"/>
  </r>
  <r>
    <x v="5"/>
    <s v="Pastors"/>
    <s v="Andris"/>
    <x v="0"/>
    <s v="1:29:25"/>
    <x v="192"/>
  </r>
  <r>
    <x v="3"/>
    <s v="Paškovska"/>
    <s v="Andra"/>
    <x v="206"/>
    <s v="1:37:32"/>
    <x v="225"/>
  </r>
  <r>
    <x v="2"/>
    <s v="Pauliņš"/>
    <s v="Kaspars"/>
    <x v="51"/>
    <s v="1:07:57"/>
    <x v="91"/>
  </r>
  <r>
    <x v="2"/>
    <s v="Paulis"/>
    <s v="Laimonis"/>
    <x v="56"/>
    <s v="1:35:34"/>
    <x v="30"/>
  </r>
  <r>
    <x v="1"/>
    <s v="Pavārs"/>
    <s v="Guntars"/>
    <x v="207"/>
    <s v="1:18:13"/>
    <x v="74"/>
  </r>
  <r>
    <x v="15"/>
    <s v="Pāvuls"/>
    <s v="Ulvis"/>
    <x v="157"/>
    <s v="1:13:20"/>
    <x v="83"/>
  </r>
  <r>
    <x v="13"/>
    <s v="Pāvuls"/>
    <s v="Patriks"/>
    <x v="157"/>
    <s v="1:44:41"/>
    <x v="52"/>
  </r>
  <r>
    <x v="3"/>
    <s v="Pelcberga"/>
    <s v="Kristīne"/>
    <x v="0"/>
    <s v="1:56:43"/>
    <x v="37"/>
  </r>
  <r>
    <x v="1"/>
    <s v="Pelcbergs"/>
    <s v="Dzintars"/>
    <x v="0"/>
    <s v="2:08:21"/>
    <x v="171"/>
  </r>
  <r>
    <x v="2"/>
    <s v="Pelšs"/>
    <s v="Jānis"/>
    <x v="51"/>
    <s v="1:07:53"/>
    <x v="91"/>
  </r>
  <r>
    <x v="3"/>
    <s v="Pētermane"/>
    <s v="Maija"/>
    <x v="1"/>
    <s v="1:29:36"/>
    <x v="76"/>
  </r>
  <r>
    <x v="3"/>
    <s v="Pētersone"/>
    <s v="Mare"/>
    <x v="208"/>
    <s v="1:29:04"/>
    <x v="70"/>
  </r>
  <r>
    <x v="3"/>
    <s v="Pētersone"/>
    <s v="Gundega"/>
    <x v="1"/>
    <s v="1:52:46"/>
    <x v="170"/>
  </r>
  <r>
    <x v="3"/>
    <s v="Pētersone"/>
    <s v="Zane"/>
    <x v="51"/>
    <s v="1:46:49"/>
    <x v="109"/>
  </r>
  <r>
    <x v="2"/>
    <s v="Pētersons"/>
    <s v="Jānis"/>
    <x v="1"/>
    <s v="1:52:46"/>
    <x v="170"/>
  </r>
  <r>
    <x v="2"/>
    <s v="Pētersons"/>
    <s v="Arnis"/>
    <x v="51"/>
    <s v="1:15:30"/>
    <x v="71"/>
  </r>
  <r>
    <x v="2"/>
    <s v="Pētersons"/>
    <s v="Edijs"/>
    <x v="1"/>
    <s v="0:58:35"/>
    <x v="82"/>
  </r>
  <r>
    <x v="2"/>
    <s v="Pētersons"/>
    <s v="Jānis"/>
    <x v="1"/>
    <s v="1:03:02"/>
    <x v="2"/>
  </r>
  <r>
    <x v="1"/>
    <s v="Petrovs"/>
    <s v="Valters"/>
    <x v="24"/>
    <s v="1:24:49"/>
    <x v="3"/>
  </r>
  <r>
    <x v="2"/>
    <s v="Petrovs"/>
    <s v="Igors"/>
    <x v="1"/>
    <s v="1:05:31"/>
    <x v="97"/>
  </r>
  <r>
    <x v="12"/>
    <s v="Pikšēns"/>
    <s v="Toms"/>
    <x v="155"/>
    <s v="1:39:55"/>
    <x v="228"/>
  </r>
  <r>
    <x v="3"/>
    <s v="Piļipaviča"/>
    <s v="Linda"/>
    <x v="51"/>
    <s v="1:34:35"/>
    <x v="99"/>
  </r>
  <r>
    <x v="4"/>
    <s v="Pīmanis"/>
    <s v="Raitis"/>
    <x v="0"/>
    <s v="1:45:30"/>
    <x v="80"/>
  </r>
  <r>
    <x v="3"/>
    <s v="Pipare"/>
    <s v="Inga"/>
    <x v="153"/>
    <s v="1:16:30"/>
    <x v="151"/>
  </r>
  <r>
    <x v="2"/>
    <s v="Pipars"/>
    <s v="Normunds"/>
    <x v="153"/>
    <s v="1:16:30"/>
    <x v="151"/>
  </r>
  <r>
    <x v="2"/>
    <s v="Pipars"/>
    <s v="Gints"/>
    <x v="153"/>
    <s v="1:16:31"/>
    <x v="151"/>
  </r>
  <r>
    <x v="2"/>
    <s v="Pipars"/>
    <s v="Jānis"/>
    <x v="153"/>
    <s v="1:16:32"/>
    <x v="151"/>
  </r>
  <r>
    <x v="12"/>
    <s v="Piziks"/>
    <s v="Arvis"/>
    <x v="209"/>
    <s v="1:39:56"/>
    <x v="228"/>
  </r>
  <r>
    <x v="9"/>
    <s v="Platacis"/>
    <s v="Agris"/>
    <x v="1"/>
    <s v="1:40:01"/>
    <x v="190"/>
  </r>
  <r>
    <x v="5"/>
    <s v="Plezers"/>
    <s v="Dailis"/>
    <x v="89"/>
    <s v="1:10:26"/>
    <x v="29"/>
  </r>
  <r>
    <x v="2"/>
    <s v="Plezers"/>
    <s v="Jānis"/>
    <x v="89"/>
    <s v="1:33:30"/>
    <x v="173"/>
  </r>
  <r>
    <x v="12"/>
    <s v="Plūme"/>
    <s v="Mārtiņš"/>
    <x v="210"/>
    <s v="1:40:21"/>
    <x v="127"/>
  </r>
  <r>
    <x v="9"/>
    <s v="Plūme"/>
    <s v="Pēteris"/>
    <x v="1"/>
    <s v="1:39:23"/>
    <x v="163"/>
  </r>
  <r>
    <x v="3"/>
    <s v="Pļaviņa"/>
    <s v="Iveta"/>
    <x v="51"/>
    <s v="1:34:13"/>
    <x v="99"/>
  </r>
  <r>
    <x v="2"/>
    <s v="Pļaviņš"/>
    <s v="Mārtiņš"/>
    <x v="63"/>
    <s v="1:31:57"/>
    <x v="145"/>
  </r>
  <r>
    <x v="2"/>
    <s v="Podiņš"/>
    <s v="Bruno"/>
    <x v="1"/>
    <s v="1:09:45"/>
    <x v="194"/>
  </r>
  <r>
    <x v="2"/>
    <s v="Podlubnijjs"/>
    <s v="Dmitrijs"/>
    <x v="0"/>
    <s v="1:23:50"/>
    <x v="88"/>
  </r>
  <r>
    <x v="2"/>
    <s v="Podnieks"/>
    <s v="Mārtiņš"/>
    <x v="1"/>
    <s v="1:37:28"/>
    <x v="225"/>
  </r>
  <r>
    <x v="2"/>
    <s v="Podnieks"/>
    <s v="Uldis"/>
    <x v="1"/>
    <s v="1:34:37"/>
    <x v="67"/>
  </r>
  <r>
    <x v="2"/>
    <s v="Podziņš"/>
    <s v="Valdis"/>
    <x v="146"/>
    <s v="1:16:02"/>
    <x v="74"/>
  </r>
  <r>
    <x v="15"/>
    <s v="Pogodins"/>
    <s v="Kirils"/>
    <x v="35"/>
    <s v="1:05:03"/>
    <x v="102"/>
  </r>
  <r>
    <x v="2"/>
    <s v="Poišs"/>
    <s v="Jānis"/>
    <x v="51"/>
    <s v="1:12:03"/>
    <x v="39"/>
  </r>
  <r>
    <x v="0"/>
    <s v="Pole"/>
    <s v="Laura"/>
    <x v="1"/>
    <s v="2:20:08"/>
    <x v="211"/>
  </r>
  <r>
    <x v="5"/>
    <s v="Polis"/>
    <s v="Aldis"/>
    <x v="1"/>
    <s v="1:18:27"/>
    <x v="196"/>
  </r>
  <r>
    <x v="2"/>
    <s v="Poļakovskis"/>
    <s v="Juris"/>
    <x v="211"/>
    <s v="1:31:55"/>
    <x v="145"/>
  </r>
  <r>
    <x v="2"/>
    <s v="Poļakovskis"/>
    <s v="Mārtiņš"/>
    <x v="212"/>
    <s v="1:28:01"/>
    <x v="62"/>
  </r>
  <r>
    <x v="2"/>
    <s v="Pomarņevskis"/>
    <s v="Sergejs"/>
    <x v="1"/>
    <s v="0:57:25"/>
    <x v="185"/>
  </r>
  <r>
    <x v="1"/>
    <s v="Pommers"/>
    <s v="Andris"/>
    <x v="55"/>
    <s v="1:18:21"/>
    <x v="196"/>
  </r>
  <r>
    <x v="2"/>
    <s v="Porejs"/>
    <s v="Agris"/>
    <x v="0"/>
    <s v="1:33:06"/>
    <x v="89"/>
  </r>
  <r>
    <x v="1"/>
    <s v="Porietis"/>
    <s v="Jānis"/>
    <x v="1"/>
    <s v="1:11:30"/>
    <x v="78"/>
  </r>
  <r>
    <x v="1"/>
    <s v="Pors"/>
    <s v="Kaspars"/>
    <x v="26"/>
    <s v="2:00:42"/>
    <x v="141"/>
  </r>
  <r>
    <x v="13"/>
    <s v="Portnajs"/>
    <s v="Ingus"/>
    <x v="57"/>
    <s v="1:23:41"/>
    <x v="8"/>
  </r>
  <r>
    <x v="2"/>
    <s v="Pošeika"/>
    <s v="Mārtiņš"/>
    <x v="10"/>
    <s v="1:12:47"/>
    <x v="49"/>
  </r>
  <r>
    <x v="0"/>
    <s v="Poška"/>
    <s v="Kristīne"/>
    <x v="159"/>
    <s v="1:24:08"/>
    <x v="101"/>
  </r>
  <r>
    <x v="13"/>
    <s v="Poška"/>
    <s v="Dāvis"/>
    <x v="160"/>
    <s v="1:18:03"/>
    <x v="74"/>
  </r>
  <r>
    <x v="15"/>
    <s v="Prauliņš"/>
    <s v="Didzis"/>
    <x v="35"/>
    <s v="1:00:56"/>
    <x v="160"/>
  </r>
  <r>
    <x v="13"/>
    <s v="Preimanis"/>
    <s v="Matīss"/>
    <x v="138"/>
    <s v="1:14:17"/>
    <x v="22"/>
  </r>
  <r>
    <x v="2"/>
    <s v="Priede"/>
    <s v="Edgars"/>
    <x v="157"/>
    <s v="1:16:48"/>
    <x v="14"/>
  </r>
  <r>
    <x v="2"/>
    <s v="Priede"/>
    <s v="Artūrs"/>
    <x v="1"/>
    <s v="1:14:56"/>
    <x v="125"/>
  </r>
  <r>
    <x v="2"/>
    <s v="Priede"/>
    <s v="Jānis"/>
    <x v="1"/>
    <s v="1:13:16"/>
    <x v="93"/>
  </r>
  <r>
    <x v="1"/>
    <s v="Priedēns"/>
    <s v="Māris"/>
    <x v="11"/>
    <s v="1:22:12"/>
    <x v="162"/>
  </r>
  <r>
    <x v="2"/>
    <s v="Priedītis"/>
    <s v="Reinis"/>
    <x v="1"/>
    <s v="1:25:54"/>
    <x v="112"/>
  </r>
  <r>
    <x v="5"/>
    <s v="Priedītis"/>
    <s v="Jānis"/>
    <x v="1"/>
    <s v="1:19:37"/>
    <x v="98"/>
  </r>
  <r>
    <x v="2"/>
    <s v="Priedītis"/>
    <s v="Helmuts"/>
    <x v="213"/>
    <s v="1:05:08"/>
    <x v="229"/>
  </r>
  <r>
    <x v="3"/>
    <s v="Priedniece"/>
    <s v="Inese"/>
    <x v="1"/>
    <s v="1:30:44"/>
    <x v="34"/>
  </r>
  <r>
    <x v="2"/>
    <s v="Priednieks"/>
    <s v="Juris"/>
    <x v="1"/>
    <s v="1:11:18"/>
    <x v="83"/>
  </r>
  <r>
    <x v="2"/>
    <s v="Priednieks"/>
    <s v="Artis"/>
    <x v="1"/>
    <s v="1:23:43"/>
    <x v="88"/>
  </r>
  <r>
    <x v="2"/>
    <s v="Prikulis"/>
    <s v="Aivars"/>
    <x v="9"/>
    <s v="1:10:13"/>
    <x v="128"/>
  </r>
  <r>
    <x v="2"/>
    <s v="Prīsis"/>
    <s v="Mārtiņš"/>
    <x v="0"/>
    <s v="1:21:55"/>
    <x v="101"/>
  </r>
  <r>
    <x v="1"/>
    <s v="Prižavoits"/>
    <s v="Jānis"/>
    <x v="44"/>
    <s v="1:11:23"/>
    <x v="78"/>
  </r>
  <r>
    <x v="2"/>
    <s v="Priževoits"/>
    <s v="Andris"/>
    <x v="146"/>
    <s v="2:01:09"/>
    <x v="119"/>
  </r>
  <r>
    <x v="13"/>
    <s v="Prokofjevs"/>
    <s v="Ivars"/>
    <x v="53"/>
    <s v="1:15:40"/>
    <x v="17"/>
  </r>
  <r>
    <x v="4"/>
    <s v="Prokofjevs"/>
    <s v="Juris"/>
    <x v="53"/>
    <s v="1:06:43"/>
    <x v="155"/>
  </r>
  <r>
    <x v="3"/>
    <s v="Proņičeva"/>
    <s v="Jana"/>
    <x v="23"/>
    <s v="1:52:00"/>
    <x v="32"/>
  </r>
  <r>
    <x v="3"/>
    <s v="Pūce"/>
    <s v="Elīna"/>
    <x v="1"/>
    <s v="1:34:43"/>
    <x v="67"/>
  </r>
  <r>
    <x v="2"/>
    <s v="Pugovičs"/>
    <s v="Osvalds"/>
    <x v="1"/>
    <s v="1:19:49"/>
    <x v="73"/>
  </r>
  <r>
    <x v="2"/>
    <s v="Pugovičs"/>
    <s v="Kārlis"/>
    <x v="1"/>
    <s v="1:19:49"/>
    <x v="73"/>
  </r>
  <r>
    <x v="2"/>
    <s v="Puikāns"/>
    <s v="Gatis"/>
    <x v="51"/>
    <s v="1:27:25"/>
    <x v="153"/>
  </r>
  <r>
    <x v="13"/>
    <s v="Pujats"/>
    <s v="Artis"/>
    <x v="52"/>
    <s v="1:06:06"/>
    <x v="44"/>
  </r>
  <r>
    <x v="2"/>
    <s v="Pūliņš"/>
    <s v="Ģirts"/>
    <x v="2"/>
    <s v="1:04:37"/>
    <x v="181"/>
  </r>
  <r>
    <x v="2"/>
    <s v="Pumpurs"/>
    <s v="Ivo"/>
    <x v="128"/>
    <s v="1:31:58"/>
    <x v="145"/>
  </r>
  <r>
    <x v="2"/>
    <s v="Punculis"/>
    <s v="Ronalds"/>
    <x v="1"/>
    <s v="1:08:06"/>
    <x v="54"/>
  </r>
  <r>
    <x v="12"/>
    <s v="Pundurs"/>
    <s v="Aldis"/>
    <x v="210"/>
    <s v="1:39:38"/>
    <x v="166"/>
  </r>
  <r>
    <x v="7"/>
    <s v="Puriņš"/>
    <s v="Jānis"/>
    <x v="1"/>
    <s v="1:46:21"/>
    <x v="230"/>
  </r>
  <r>
    <x v="2"/>
    <s v="Puriņš"/>
    <s v="Ivars"/>
    <x v="208"/>
    <s v="1:21:43"/>
    <x v="101"/>
  </r>
  <r>
    <x v="2"/>
    <s v="Puriņš"/>
    <s v="Aivars"/>
    <x v="208"/>
    <s v="1:08:16"/>
    <x v="206"/>
  </r>
  <r>
    <x v="2"/>
    <s v="Purmalis"/>
    <s v="Gundars"/>
    <x v="1"/>
    <s v="1:03:23"/>
    <x v="227"/>
  </r>
  <r>
    <x v="2"/>
    <s v="Purmalis"/>
    <s v="Niks"/>
    <x v="14"/>
    <s v="0:57:33"/>
    <x v="21"/>
  </r>
  <r>
    <x v="1"/>
    <s v="Purviņš"/>
    <s v="Ivars"/>
    <x v="9"/>
    <s v="1:15:57"/>
    <x v="45"/>
  </r>
  <r>
    <x v="3"/>
    <s v="Putāne"/>
    <s v="Laura"/>
    <x v="1"/>
    <s v="1:36:43"/>
    <x v="154"/>
  </r>
  <r>
    <x v="7"/>
    <s v="Puzaks"/>
    <s v="Uldis"/>
    <x v="15"/>
    <s v="1:39:53"/>
    <x v="228"/>
  </r>
  <r>
    <x v="1"/>
    <s v="Rabša"/>
    <s v="Reinis"/>
    <x v="35"/>
    <s v="1:19:49"/>
    <x v="26"/>
  </r>
  <r>
    <x v="2"/>
    <s v="Račis"/>
    <s v="Edgars"/>
    <x v="214"/>
    <s v="1:34:16"/>
    <x v="99"/>
  </r>
  <r>
    <x v="17"/>
    <s v="Radionova"/>
    <s v="Karīna"/>
    <x v="109"/>
    <s v="1:46:41"/>
    <x v="231"/>
  </r>
  <r>
    <x v="3"/>
    <s v="Radziņa"/>
    <s v="Linda"/>
    <x v="50"/>
    <s v="1:41:21"/>
    <x v="15"/>
  </r>
  <r>
    <x v="3"/>
    <s v="Raituma"/>
    <s v="Daina"/>
    <x v="0"/>
    <s v="1:46:49"/>
    <x v="109"/>
  </r>
  <r>
    <x v="2"/>
    <s v="Raitums"/>
    <s v="Uldis"/>
    <x v="0"/>
    <s v="1:47:04"/>
    <x v="109"/>
  </r>
  <r>
    <x v="1"/>
    <s v="Raitums"/>
    <s v="Valdis"/>
    <x v="0"/>
    <s v="1:21:10"/>
    <x v="79"/>
  </r>
  <r>
    <x v="3"/>
    <s v="Rancāne"/>
    <s v="Elīna"/>
    <x v="50"/>
    <s v="1:27:26"/>
    <x v="153"/>
  </r>
  <r>
    <x v="1"/>
    <s v="Rancāns"/>
    <s v="Edgars"/>
    <x v="50"/>
    <s v="1:27:37"/>
    <x v="130"/>
  </r>
  <r>
    <x v="2"/>
    <s v="Rancāns"/>
    <s v="Aigars"/>
    <x v="50"/>
    <s v="1:30:38"/>
    <x v="34"/>
  </r>
  <r>
    <x v="2"/>
    <s v="Ranis"/>
    <s v="Raivis"/>
    <x v="77"/>
    <s v="1:28:36"/>
    <x v="87"/>
  </r>
  <r>
    <x v="1"/>
    <s v="Rapa"/>
    <s v="Jānis"/>
    <x v="89"/>
    <s v="1:10:40"/>
    <x v="20"/>
  </r>
  <r>
    <x v="3"/>
    <s v="Rapa"/>
    <s v="Sanda"/>
    <x v="3"/>
    <s v="1:17:29"/>
    <x v="98"/>
  </r>
  <r>
    <x v="2"/>
    <s v="Rasiņš"/>
    <s v="Andris"/>
    <x v="97"/>
    <s v="1:27:45"/>
    <x v="24"/>
  </r>
  <r>
    <x v="3"/>
    <s v="Rasmane"/>
    <s v="Nelda"/>
    <x v="1"/>
    <s v="1:39:30"/>
    <x v="16"/>
  </r>
  <r>
    <x v="2"/>
    <s v="Rasmanis"/>
    <s v="Reinis"/>
    <x v="0"/>
    <s v="1:26:11"/>
    <x v="147"/>
  </r>
  <r>
    <x v="4"/>
    <s v="Rasmanis"/>
    <s v="Kaspars"/>
    <x v="1"/>
    <s v="1:17:07"/>
    <x v="125"/>
  </r>
  <r>
    <x v="6"/>
    <s v="Rasmanis"/>
    <s v="Arnis"/>
    <x v="1"/>
    <s v="1:23:23"/>
    <x v="4"/>
  </r>
  <r>
    <x v="2"/>
    <s v="Rasmanis"/>
    <s v="Raivis"/>
    <x v="1"/>
    <s v="1:32:48"/>
    <x v="5"/>
  </r>
  <r>
    <x v="2"/>
    <s v="Ratiniks"/>
    <s v="Krišjānis"/>
    <x v="93"/>
    <s v="0:57:07"/>
    <x v="232"/>
  </r>
  <r>
    <x v="5"/>
    <s v="Rautenbergs"/>
    <s v="Artūrs"/>
    <x v="1"/>
    <s v="1:09:50"/>
    <x v="91"/>
  </r>
  <r>
    <x v="3"/>
    <s v="Regža"/>
    <s v="Anete"/>
    <x v="20"/>
    <s v="1:29:52"/>
    <x v="205"/>
  </r>
  <r>
    <x v="2"/>
    <s v="Regža"/>
    <s v="Ansis"/>
    <x v="20"/>
    <s v="1:25:54"/>
    <x v="112"/>
  </r>
  <r>
    <x v="3"/>
    <s v="Regža"/>
    <s v="Dace"/>
    <x v="20"/>
    <s v="1:33:58"/>
    <x v="161"/>
  </r>
  <r>
    <x v="3"/>
    <s v="Regža"/>
    <s v="Evita"/>
    <x v="20"/>
    <s v="1:39:51"/>
    <x v="11"/>
  </r>
  <r>
    <x v="2"/>
    <s v="Regža"/>
    <s v="Zigmunds"/>
    <x v="20"/>
    <s v="1:38:23"/>
    <x v="219"/>
  </r>
  <r>
    <x v="2"/>
    <s v="Reigass"/>
    <s v="Andris"/>
    <x v="124"/>
    <s v="1:20:35"/>
    <x v="51"/>
  </r>
  <r>
    <x v="1"/>
    <s v="Reimanis"/>
    <s v="Arkādijs"/>
    <x v="69"/>
    <s v="1:22:49"/>
    <x v="51"/>
  </r>
  <r>
    <x v="2"/>
    <s v="Reimats"/>
    <s v="Jānis"/>
    <x v="51"/>
    <s v="1:19:16"/>
    <x v="85"/>
  </r>
  <r>
    <x v="15"/>
    <s v="Reinolds"/>
    <s v="Gints"/>
    <x v="40"/>
    <s v="1:03:36"/>
    <x v="64"/>
  </r>
  <r>
    <x v="13"/>
    <s v="Reiss"/>
    <s v="Raitis"/>
    <x v="79"/>
    <s v="1:18:30"/>
    <x v="196"/>
  </r>
  <r>
    <x v="2"/>
    <s v="Reiters"/>
    <s v="Andris"/>
    <x v="1"/>
    <s v="1:18:26"/>
    <x v="46"/>
  </r>
  <r>
    <x v="1"/>
    <s v="Rēns"/>
    <s v="Eduards"/>
    <x v="126"/>
    <s v="1:11:18"/>
    <x v="78"/>
  </r>
  <r>
    <x v="2"/>
    <s v="Reņķis"/>
    <s v="Ints"/>
    <x v="75"/>
    <s v="0:57:17"/>
    <x v="200"/>
  </r>
  <r>
    <x v="7"/>
    <s v="Repiševskis"/>
    <s v="Vladislavs"/>
    <x v="33"/>
    <s v="1:39:48"/>
    <x v="228"/>
  </r>
  <r>
    <x v="1"/>
    <s v="Riekstiņš"/>
    <s v="Jānis"/>
    <x v="215"/>
    <s v="1:23:15"/>
    <x v="4"/>
  </r>
  <r>
    <x v="15"/>
    <s v="Riekstiņš"/>
    <s v="Raimonds"/>
    <x v="216"/>
    <s v="1:20:17"/>
    <x v="117"/>
  </r>
  <r>
    <x v="1"/>
    <s v="Riekstiņš"/>
    <s v="Roberts"/>
    <x v="216"/>
    <s v="1:19:37"/>
    <x v="98"/>
  </r>
  <r>
    <x v="2"/>
    <s v="Riekstiņš"/>
    <s v="Edgars"/>
    <x v="1"/>
    <s v="1:03:21"/>
    <x v="227"/>
  </r>
  <r>
    <x v="9"/>
    <s v="Riekstiņš"/>
    <s v="Jānis"/>
    <x v="217"/>
    <s v="2:00:53"/>
    <x v="160"/>
  </r>
  <r>
    <x v="2"/>
    <s v="Riekstiņš"/>
    <s v="Juris"/>
    <x v="3"/>
    <s v="1:14:27"/>
    <x v="111"/>
  </r>
  <r>
    <x v="2"/>
    <s v="Riks"/>
    <s v="Igors"/>
    <x v="112"/>
    <s v="1:20:25"/>
    <x v="195"/>
  </r>
  <r>
    <x v="3"/>
    <s v="Rikša"/>
    <s v="Marta"/>
    <x v="171"/>
    <s v="1:50:44"/>
    <x v="72"/>
  </r>
  <r>
    <x v="11"/>
    <s v="Rinkus"/>
    <s v="Arnolds"/>
    <x v="1"/>
    <s v="2:08:10"/>
    <x v="167"/>
  </r>
  <r>
    <x v="5"/>
    <s v="Roģis"/>
    <s v="Jānis"/>
    <x v="43"/>
    <s v="1:22:05"/>
    <x v="73"/>
  </r>
  <r>
    <x v="2"/>
    <s v="Rohtlo"/>
    <s v="Ivo"/>
    <x v="1"/>
    <s v="1:09:00"/>
    <x v="216"/>
  </r>
  <r>
    <x v="1"/>
    <s v="Roķis"/>
    <s v="Guntis"/>
    <x v="218"/>
    <s v="1:13:49"/>
    <x v="92"/>
  </r>
  <r>
    <x v="2"/>
    <s v="Roķis"/>
    <s v="Ivars"/>
    <x v="10"/>
    <s v="1:09:09"/>
    <x v="115"/>
  </r>
  <r>
    <x v="2"/>
    <s v="Romanovska"/>
    <s v="L"/>
    <x v="76"/>
    <s v="1:23:39"/>
    <x v="86"/>
  </r>
  <r>
    <x v="2"/>
    <s v="Romanovskis"/>
    <s v="J"/>
    <x v="76"/>
    <s v="1:08:13"/>
    <x v="206"/>
  </r>
  <r>
    <x v="2"/>
    <s v="Romanovskis"/>
    <s v="R"/>
    <x v="76"/>
    <s v="1:09:07"/>
    <x v="115"/>
  </r>
  <r>
    <x v="3"/>
    <s v="Romenkova"/>
    <s v="Ieva"/>
    <x v="219"/>
    <s v="1:42:07"/>
    <x v="103"/>
  </r>
  <r>
    <x v="2"/>
    <s v="Ronis"/>
    <s v="Gints"/>
    <x v="1"/>
    <s v="1:26:19"/>
    <x v="147"/>
  </r>
  <r>
    <x v="3"/>
    <s v="Rozebkova"/>
    <s v="Nina"/>
    <x v="115"/>
    <s v="1:15:21"/>
    <x v="71"/>
  </r>
  <r>
    <x v="0"/>
    <s v="Rozenberga"/>
    <s v="Dace"/>
    <x v="1"/>
    <s v="2:01:49"/>
    <x v="142"/>
  </r>
  <r>
    <x v="14"/>
    <s v="Rozenbrergs"/>
    <s v="Ivars"/>
    <x v="1"/>
    <s v="1:52:37"/>
    <x v="136"/>
  </r>
  <r>
    <x v="2"/>
    <s v="Rozenfelds"/>
    <s v="Egons"/>
    <x v="75"/>
    <s v="1:20:19"/>
    <x v="195"/>
  </r>
  <r>
    <x v="2"/>
    <s v="Rozenfelds"/>
    <s v="Jānis"/>
    <x v="220"/>
    <s v="1:17:17"/>
    <x v="98"/>
  </r>
  <r>
    <x v="2"/>
    <s v="Rozenšteins"/>
    <s v="Harijs"/>
    <x v="1"/>
    <s v="2:03:34"/>
    <x v="18"/>
  </r>
  <r>
    <x v="2"/>
    <s v="Rozenšteins"/>
    <s v="Ivars"/>
    <x v="1"/>
    <s v="1:07:40"/>
    <x v="208"/>
  </r>
  <r>
    <x v="3"/>
    <s v="Rozīte"/>
    <s v="Agneta"/>
    <x v="1"/>
    <s v="1:56:08"/>
    <x v="159"/>
  </r>
  <r>
    <x v="2"/>
    <s v="Rozītis"/>
    <s v="Andris"/>
    <x v="1"/>
    <s v="1:05:13"/>
    <x v="229"/>
  </r>
  <r>
    <x v="2"/>
    <s v="Rozītis"/>
    <s v="Jānis"/>
    <x v="10"/>
    <s v="1:02:32"/>
    <x v="43"/>
  </r>
  <r>
    <x v="1"/>
    <s v="Roznieks"/>
    <s v="Jānis"/>
    <x v="30"/>
    <s v="1:12:38"/>
    <x v="198"/>
  </r>
  <r>
    <x v="12"/>
    <s v="Rubenis"/>
    <s v="Normunds"/>
    <x v="221"/>
    <s v="1:39:58"/>
    <x v="228"/>
  </r>
  <r>
    <x v="4"/>
    <s v="Rubiks"/>
    <s v="Jānis"/>
    <x v="101"/>
    <s v="1:03:42"/>
    <x v="64"/>
  </r>
  <r>
    <x v="2"/>
    <s v="Rubiks"/>
    <s v="Māris"/>
    <x v="40"/>
    <s v="0:57:27"/>
    <x v="185"/>
  </r>
  <r>
    <x v="3"/>
    <s v="Ručevska"/>
    <s v="Ručevska"/>
    <x v="222"/>
    <s v="1:57:43"/>
    <x v="141"/>
  </r>
  <r>
    <x v="3"/>
    <s v="Rudi"/>
    <s v="Dārta"/>
    <x v="10"/>
    <s v="1:50:46"/>
    <x v="72"/>
  </r>
  <r>
    <x v="5"/>
    <s v="Rudi"/>
    <s v="Aivars"/>
    <x v="36"/>
    <s v="1:09:54"/>
    <x v="91"/>
  </r>
  <r>
    <x v="1"/>
    <s v="Rudzītis"/>
    <s v="Kristaps"/>
    <x v="40"/>
    <s v="1:06:04"/>
    <x v="44"/>
  </r>
  <r>
    <x v="5"/>
    <s v="Rudzītis"/>
    <s v="Ojārs"/>
    <x v="1"/>
    <s v="1:21:27"/>
    <x v="107"/>
  </r>
  <r>
    <x v="1"/>
    <s v="Rudzītis"/>
    <s v="Gatis"/>
    <x v="1"/>
    <s v="1:23:19"/>
    <x v="4"/>
  </r>
  <r>
    <x v="3"/>
    <s v="Rulle"/>
    <s v="Linda"/>
    <x v="1"/>
    <s v="1:12:40"/>
    <x v="49"/>
  </r>
  <r>
    <x v="1"/>
    <s v="Rullis"/>
    <s v="Mārtiņš"/>
    <x v="89"/>
    <s v="1:05:01"/>
    <x v="102"/>
  </r>
  <r>
    <x v="2"/>
    <s v="Rullis"/>
    <s v="Ģirts"/>
    <x v="223"/>
    <s v="1:22:32"/>
    <x v="3"/>
  </r>
  <r>
    <x v="3"/>
    <s v="Rumaka"/>
    <s v="Maija"/>
    <x v="0"/>
    <s v="1:38:49"/>
    <x v="135"/>
  </r>
  <r>
    <x v="3"/>
    <s v="Rūmniece"/>
    <s v="Agnese"/>
    <x v="5"/>
    <s v="1:30:08"/>
    <x v="140"/>
  </r>
  <r>
    <x v="2"/>
    <s v="Rūmnieks"/>
    <s v="Helmārs"/>
    <x v="1"/>
    <s v="1:02:41"/>
    <x v="43"/>
  </r>
  <r>
    <x v="1"/>
    <s v="Ruska"/>
    <s v="Reinis"/>
    <x v="224"/>
    <s v="1:12:11"/>
    <x v="128"/>
  </r>
  <r>
    <x v="5"/>
    <s v="Ruska"/>
    <s v="Andris"/>
    <x v="224"/>
    <s v="1:20:53"/>
    <x v="46"/>
  </r>
  <r>
    <x v="2"/>
    <s v="Rutkis"/>
    <s v="Edgars"/>
    <x v="75"/>
    <s v="1:01:40"/>
    <x v="177"/>
  </r>
  <r>
    <x v="2"/>
    <s v="Rutulis"/>
    <s v="Kaspars"/>
    <x v="9"/>
    <s v="1:09:52"/>
    <x v="150"/>
  </r>
  <r>
    <x v="1"/>
    <s v="Sabulis"/>
    <s v="Gvido"/>
    <x v="1"/>
    <s v="1:16:47"/>
    <x v="12"/>
  </r>
  <r>
    <x v="1"/>
    <s v="Sabulis"/>
    <s v="Andis"/>
    <x v="10"/>
    <s v="1:18:12"/>
    <x v="74"/>
  </r>
  <r>
    <x v="2"/>
    <s v="Salenieks"/>
    <s v="Māris"/>
    <x v="176"/>
    <s v="1:59:23"/>
    <x v="0"/>
  </r>
  <r>
    <x v="2"/>
    <s v="Salijevs"/>
    <s v="Juris"/>
    <x v="30"/>
    <s v="1:46:53"/>
    <x v="109"/>
  </r>
  <r>
    <x v="2"/>
    <s v="Salmiņš"/>
    <s v="Ģirts"/>
    <x v="1"/>
    <s v="1:26:36"/>
    <x v="42"/>
  </r>
  <r>
    <x v="2"/>
    <s v="Salmiņš"/>
    <s v="Arnis"/>
    <x v="1"/>
    <s v="1:20:40"/>
    <x v="51"/>
  </r>
  <r>
    <x v="2"/>
    <s v="Sanders"/>
    <s v="Armīns"/>
    <x v="1"/>
    <s v="1:32:12"/>
    <x v="138"/>
  </r>
  <r>
    <x v="15"/>
    <s v="Sarkans"/>
    <s v="Elvijs"/>
    <x v="1"/>
    <s v="1:18:40"/>
    <x v="151"/>
  </r>
  <r>
    <x v="2"/>
    <s v="Sarma"/>
    <s v="Mikuss"/>
    <x v="1"/>
    <s v="1:34:34"/>
    <x v="99"/>
  </r>
  <r>
    <x v="2"/>
    <s v="Sarma"/>
    <s v="Rukevs"/>
    <x v="1"/>
    <s v="1:43:12"/>
    <x v="66"/>
  </r>
  <r>
    <x v="3"/>
    <s v="Sarma"/>
    <s v="Sibilla"/>
    <x v="1"/>
    <s v="1:50:08"/>
    <x v="137"/>
  </r>
  <r>
    <x v="1"/>
    <s v="Saule"/>
    <s v="Ivars"/>
    <x v="0"/>
    <s v="1:56:58"/>
    <x v="118"/>
  </r>
  <r>
    <x v="1"/>
    <s v="Saušs"/>
    <s v="Raimonds"/>
    <x v="1"/>
    <s v="1:06:10"/>
    <x v="44"/>
  </r>
  <r>
    <x v="2"/>
    <s v="Saušs"/>
    <s v="Romāns"/>
    <x v="109"/>
    <s v="1:15:19"/>
    <x v="71"/>
  </r>
  <r>
    <x v="2"/>
    <s v="Saveļjevs"/>
    <s v="Armands"/>
    <x v="1"/>
    <s v="1:16:59"/>
    <x v="157"/>
  </r>
  <r>
    <x v="2"/>
    <s v="Savickis"/>
    <s v="Edgars"/>
    <x v="150"/>
    <s v="1:40:11"/>
    <x v="10"/>
  </r>
  <r>
    <x v="6"/>
    <s v="Sedlenieks"/>
    <s v="Ivars"/>
    <x v="1"/>
    <s v="1:07:51"/>
    <x v="56"/>
  </r>
  <r>
    <x v="1"/>
    <s v="Segrums"/>
    <s v="Oskars"/>
    <x v="88"/>
    <s v="1:17:21"/>
    <x v="94"/>
  </r>
  <r>
    <x v="1"/>
    <s v="Seilis"/>
    <s v="Artis"/>
    <x v="10"/>
    <s v="1:24:04"/>
    <x v="101"/>
  </r>
  <r>
    <x v="2"/>
    <s v="Seipulis"/>
    <s v="Aivars"/>
    <x v="124"/>
    <s v="1:41:47"/>
    <x v="52"/>
  </r>
  <r>
    <x v="3"/>
    <s v="Selga"/>
    <s v="Vēsma"/>
    <x v="13"/>
    <s v="1:12:46"/>
    <x v="49"/>
  </r>
  <r>
    <x v="0"/>
    <s v="Seļava"/>
    <s v="Vivita"/>
    <x v="1"/>
    <s v="2:10:33"/>
    <x v="38"/>
  </r>
  <r>
    <x v="10"/>
    <s v="Serdants"/>
    <s v="Mikus"/>
    <x v="225"/>
    <s v="1:39:16"/>
    <x v="48"/>
  </r>
  <r>
    <x v="2"/>
    <s v="Serovs"/>
    <s v="Aleksandrs"/>
    <x v="164"/>
    <s v="1:02:20"/>
    <x v="120"/>
  </r>
  <r>
    <x v="2"/>
    <s v="Silakalns"/>
    <s v="Rinalds"/>
    <x v="1"/>
    <s v="1:04:20"/>
    <x v="44"/>
  </r>
  <r>
    <x v="0"/>
    <s v="Siliņa"/>
    <s v="Egija"/>
    <x v="226"/>
    <s v="1:56:21"/>
    <x v="105"/>
  </r>
  <r>
    <x v="3"/>
    <s v="Siliņa"/>
    <s v="Zane"/>
    <x v="1"/>
    <s v="1:36:31"/>
    <x v="154"/>
  </r>
  <r>
    <x v="3"/>
    <s v="Siliņa"/>
    <s v="Iveta"/>
    <x v="152"/>
    <s v="1:22:19"/>
    <x v="108"/>
  </r>
  <r>
    <x v="2"/>
    <s v="Siliņš"/>
    <s v="Kristaps"/>
    <x v="152"/>
    <s v="0:57:49"/>
    <x v="139"/>
  </r>
  <r>
    <x v="13"/>
    <s v="Siliņš"/>
    <s v="Artūrs"/>
    <x v="21"/>
    <s v="1:14:32"/>
    <x v="55"/>
  </r>
  <r>
    <x v="2"/>
    <s v="Siliņš"/>
    <s v="Gunārs"/>
    <x v="1"/>
    <s v="1:12:04"/>
    <x v="39"/>
  </r>
  <r>
    <x v="2"/>
    <s v="Siliņš"/>
    <s v="Mihails"/>
    <x v="1"/>
    <s v="1:35:46"/>
    <x v="30"/>
  </r>
  <r>
    <x v="1"/>
    <s v="Sīlis"/>
    <s v="Kaspars"/>
    <x v="0"/>
    <s v="1:28:00"/>
    <x v="58"/>
  </r>
  <r>
    <x v="3"/>
    <s v="Silkalna"/>
    <s v="Madara"/>
    <x v="31"/>
    <s v="1:39:07"/>
    <x v="16"/>
  </r>
  <r>
    <x v="5"/>
    <s v="Sils"/>
    <s v="Harijs"/>
    <x v="1"/>
    <s v="1:35:57"/>
    <x v="89"/>
  </r>
  <r>
    <x v="4"/>
    <s v="Sils"/>
    <s v="Kārlis"/>
    <x v="1"/>
    <s v="2:07:16"/>
    <x v="18"/>
  </r>
  <r>
    <x v="2"/>
    <s v="Siminaitis"/>
    <s v="Andris"/>
    <x v="112"/>
    <s v="1:02:04"/>
    <x v="6"/>
  </r>
  <r>
    <x v="2"/>
    <s v="Siminaitis"/>
    <s v="Igors"/>
    <x v="112"/>
    <s v="1:00:12"/>
    <x v="114"/>
  </r>
  <r>
    <x v="5"/>
    <s v="Sinka"/>
    <s v="Imants"/>
    <x v="1"/>
    <s v="1:17:47"/>
    <x v="1"/>
  </r>
  <r>
    <x v="3"/>
    <s v="Sinka"/>
    <s v="Linda"/>
    <x v="1"/>
    <s v="1:22:52"/>
    <x v="143"/>
  </r>
  <r>
    <x v="2"/>
    <s v="Sinkevičs"/>
    <s v="Jānis"/>
    <x v="40"/>
    <s v="1:36:37"/>
    <x v="154"/>
  </r>
  <r>
    <x v="3"/>
    <s v="Sirgeda"/>
    <s v="Arta"/>
    <x v="1"/>
    <s v="1:57:16"/>
    <x v="37"/>
  </r>
  <r>
    <x v="1"/>
    <s v="Sirmais"/>
    <s v="Kaspars"/>
    <x v="1"/>
    <s v="1:11:22"/>
    <x v="78"/>
  </r>
  <r>
    <x v="1"/>
    <s v="Sirmais"/>
    <s v="Mārtiņš"/>
    <x v="0"/>
    <s v="1:19:30"/>
    <x v="98"/>
  </r>
  <r>
    <x v="2"/>
    <s v="Sirodans"/>
    <s v="Broņislavs"/>
    <x v="87"/>
    <s v="1:12:24"/>
    <x v="22"/>
  </r>
  <r>
    <x v="2"/>
    <s v="Skadiņš"/>
    <s v="Laimonis"/>
    <x v="1"/>
    <s v="1:07:40"/>
    <x v="208"/>
  </r>
  <r>
    <x v="13"/>
    <s v="Skadulis"/>
    <s v="Artūrs"/>
    <x v="52"/>
    <s v="1:53:57"/>
    <x v="72"/>
  </r>
  <r>
    <x v="5"/>
    <s v="Skrastiņš"/>
    <s v="Aigars"/>
    <x v="1"/>
    <s v="1:19:36"/>
    <x v="98"/>
  </r>
  <r>
    <x v="2"/>
    <s v="Skrastiņš"/>
    <s v="Uldis"/>
    <x v="1"/>
    <s v="1:52:21"/>
    <x v="170"/>
  </r>
  <r>
    <x v="2"/>
    <s v="Skrastiņš"/>
    <s v="Alvils"/>
    <x v="9"/>
    <s v="1:22:31"/>
    <x v="3"/>
  </r>
  <r>
    <x v="2"/>
    <s v="Skrastiņš"/>
    <s v="Rihards"/>
    <x v="9"/>
    <s v="1:03:04"/>
    <x v="102"/>
  </r>
  <r>
    <x v="1"/>
    <s v="Skrebels"/>
    <s v="Juris"/>
    <x v="1"/>
    <s v="1:21:27"/>
    <x v="107"/>
  </r>
  <r>
    <x v="2"/>
    <s v="Skridulis"/>
    <s v="Aldis"/>
    <x v="1"/>
    <s v="1:36:58"/>
    <x v="60"/>
  </r>
  <r>
    <x v="2"/>
    <s v="Skripijs"/>
    <s v="Vilnis"/>
    <x v="1"/>
    <s v="1:30:40"/>
    <x v="34"/>
  </r>
  <r>
    <x v="1"/>
    <s v="Skrodelis"/>
    <s v="Gints"/>
    <x v="102"/>
    <s v="1:09:35"/>
    <x v="208"/>
  </r>
  <r>
    <x v="2"/>
    <s v="Skudra"/>
    <s v="Kristaps"/>
    <x v="198"/>
    <s v="1:45:28"/>
    <x v="146"/>
  </r>
  <r>
    <x v="3"/>
    <s v="Skudra"/>
    <s v="Baiba"/>
    <x v="1"/>
    <s v="1:32:11"/>
    <x v="138"/>
  </r>
  <r>
    <x v="10"/>
    <s v="Skuja"/>
    <s v="Sandis"/>
    <x v="180"/>
    <s v="1:38:50"/>
    <x v="35"/>
  </r>
  <r>
    <x v="2"/>
    <s v="Skuja"/>
    <s v="Andris"/>
    <x v="203"/>
    <s v="1:32:15"/>
    <x v="138"/>
  </r>
  <r>
    <x v="3"/>
    <s v="Skujiņa"/>
    <s v="Rūta"/>
    <x v="200"/>
    <s v="1:25:26"/>
    <x v="58"/>
  </r>
  <r>
    <x v="13"/>
    <s v="Skujiņš"/>
    <s v="Raivis"/>
    <x v="21"/>
    <s v="1:15:43"/>
    <x v="17"/>
  </r>
  <r>
    <x v="2"/>
    <s v="Skujiņš"/>
    <s v="Toms"/>
    <x v="110"/>
    <s v="1:02:11"/>
    <x v="90"/>
  </r>
  <r>
    <x v="5"/>
    <s v="Skutelis"/>
    <s v="Aivars"/>
    <x v="40"/>
    <s v="1:05:45"/>
    <x v="77"/>
  </r>
  <r>
    <x v="2"/>
    <s v="Slēži"/>
    <s v="Renārs"/>
    <x v="2"/>
    <s v="1:08:34"/>
    <x v="29"/>
  </r>
  <r>
    <x v="2"/>
    <s v="Slišāns"/>
    <s v="Guntars"/>
    <x v="124"/>
    <s v="1:07:35"/>
    <x v="208"/>
  </r>
  <r>
    <x v="2"/>
    <s v="Slivjančuks"/>
    <s v="Jurijs"/>
    <x v="30"/>
    <s v="1:08:35"/>
    <x v="29"/>
  </r>
  <r>
    <x v="15"/>
    <s v="Sloka"/>
    <s v="Andris"/>
    <x v="224"/>
    <s v="1:22:44"/>
    <x v="195"/>
  </r>
  <r>
    <x v="2"/>
    <s v="Smildziņš"/>
    <s v="Aigars"/>
    <x v="111"/>
    <s v="1:09:44"/>
    <x v="194"/>
  </r>
  <r>
    <x v="4"/>
    <s v="Smirnovs"/>
    <s v="Andris"/>
    <x v="35"/>
    <s v="0:59:40"/>
    <x v="126"/>
  </r>
  <r>
    <x v="15"/>
    <s v="Smoļins"/>
    <s v="Ervīns"/>
    <x v="35"/>
    <s v="1:07:01"/>
    <x v="229"/>
  </r>
  <r>
    <x v="8"/>
    <s v="Smukulis"/>
    <s v="Gatis"/>
    <x v="15"/>
    <s v="1:34:44"/>
    <x v="233"/>
  </r>
  <r>
    <x v="0"/>
    <s v="Sniedze"/>
    <s v="Aija"/>
    <x v="62"/>
    <s v="1:44:48"/>
    <x v="52"/>
  </r>
  <r>
    <x v="3"/>
    <s v="Sniķere"/>
    <s v="Sandija"/>
    <x v="75"/>
    <s v="1:24:51"/>
    <x v="179"/>
  </r>
  <r>
    <x v="2"/>
    <s v="Sniķeris"/>
    <s v="Lauris"/>
    <x v="75"/>
    <s v="1:03:26"/>
    <x v="227"/>
  </r>
  <r>
    <x v="2"/>
    <s v="Sokolovskis"/>
    <s v="Māris"/>
    <x v="106"/>
    <s v="1:03:13"/>
    <x v="102"/>
  </r>
  <r>
    <x v="0"/>
    <s v="Solnceva"/>
    <s v="Irina"/>
    <x v="178"/>
    <s v="1:40:27"/>
    <x v="225"/>
  </r>
  <r>
    <x v="5"/>
    <s v="Sondors"/>
    <s v="Didzis"/>
    <x v="40"/>
    <s v="1:09:35"/>
    <x v="208"/>
  </r>
  <r>
    <x v="2"/>
    <s v="Sorokins"/>
    <s v="Dmitrijs"/>
    <x v="1"/>
    <s v="0:57:05"/>
    <x v="232"/>
  </r>
  <r>
    <x v="3"/>
    <s v="Soste"/>
    <s v="Malvīne"/>
    <x v="10"/>
    <s v="1:26:56"/>
    <x v="192"/>
  </r>
  <r>
    <x v="2"/>
    <s v="Spalviņš"/>
    <s v="Gints"/>
    <x v="1"/>
    <s v="1:36:14"/>
    <x v="59"/>
  </r>
  <r>
    <x v="2"/>
    <s v="Spalviņš"/>
    <s v="Nauris"/>
    <x v="1"/>
    <s v="1:10:32"/>
    <x v="198"/>
  </r>
  <r>
    <x v="2"/>
    <s v="Spalviņš"/>
    <s v="Māris"/>
    <x v="1"/>
    <s v="1:15:26"/>
    <x v="71"/>
  </r>
  <r>
    <x v="2"/>
    <s v="Spigovskis"/>
    <s v="Viesturs"/>
    <x v="1"/>
    <s v="1:15:45"/>
    <x v="1"/>
  </r>
  <r>
    <x v="1"/>
    <s v="Splīte"/>
    <s v="Kārlis"/>
    <x v="227"/>
    <s v="1:18:21"/>
    <x v="196"/>
  </r>
  <r>
    <x v="6"/>
    <s v="Splīte"/>
    <s v="Jānis"/>
    <x v="227"/>
    <s v="1:13:50"/>
    <x v="92"/>
  </r>
  <r>
    <x v="3"/>
    <s v="Splīte"/>
    <s v="Līga"/>
    <x v="227"/>
    <s v="1:24:14"/>
    <x v="122"/>
  </r>
  <r>
    <x v="2"/>
    <s v="Spoģis"/>
    <s v="Jānis"/>
    <x v="1"/>
    <s v="1:19:57"/>
    <x v="162"/>
  </r>
  <r>
    <x v="3"/>
    <s v="Spriesle"/>
    <s v="Evija"/>
    <x v="74"/>
    <s v="1:37:45"/>
    <x v="212"/>
  </r>
  <r>
    <x v="1"/>
    <s v="Sprūds"/>
    <s v="Andris"/>
    <x v="1"/>
    <s v="1:15:51"/>
    <x v="45"/>
  </r>
  <r>
    <x v="3"/>
    <s v="Sprukule"/>
    <s v="Māra"/>
    <x v="228"/>
    <s v="1:43:52"/>
    <x v="69"/>
  </r>
  <r>
    <x v="2"/>
    <s v="Sprukulis"/>
    <s v="Haralds"/>
    <x v="228"/>
    <s v="1:18:12"/>
    <x v="84"/>
  </r>
  <r>
    <x v="7"/>
    <s v="Spūlis"/>
    <s v="Andris"/>
    <x v="229"/>
    <s v="1:59:04"/>
    <x v="234"/>
  </r>
  <r>
    <x v="2"/>
    <s v="Spūlis"/>
    <s v="Rūdolfs"/>
    <x v="1"/>
    <s v="1:13:59"/>
    <x v="152"/>
  </r>
  <r>
    <x v="3"/>
    <s v="Spulle"/>
    <s v="Dana"/>
    <x v="51"/>
    <s v="1:20:47"/>
    <x v="4"/>
  </r>
  <r>
    <x v="3"/>
    <s v="Spulle"/>
    <s v="Ginta"/>
    <x v="51"/>
    <s v="1:42:58"/>
    <x v="66"/>
  </r>
  <r>
    <x v="2"/>
    <s v="Stabulnieks"/>
    <s v="Ojārs"/>
    <x v="230"/>
    <s v="1:14:29"/>
    <x v="12"/>
  </r>
  <r>
    <x v="2"/>
    <s v="Stalis"/>
    <s v="Emils"/>
    <x v="1"/>
    <s v="1:47:01"/>
    <x v="109"/>
  </r>
  <r>
    <x v="11"/>
    <s v="Starotonenko"/>
    <s v="Aleksandrs"/>
    <x v="33"/>
    <s v="2:15:52"/>
    <x v="31"/>
  </r>
  <r>
    <x v="2"/>
    <s v="Staškēvics"/>
    <s v="Alvis"/>
    <x v="0"/>
    <s v="1:22:37"/>
    <x v="3"/>
  </r>
  <r>
    <x v="2"/>
    <s v="Stašulis"/>
    <s v="Gatis"/>
    <x v="231"/>
    <s v="1:16:44"/>
    <x v="14"/>
  </r>
  <r>
    <x v="2"/>
    <s v="Stašulis"/>
    <s v="Juris"/>
    <x v="231"/>
    <s v="1:17:23"/>
    <x v="98"/>
  </r>
  <r>
    <x v="5"/>
    <s v="Stelps"/>
    <s v="Normuds"/>
    <x v="6"/>
    <s v="1:15:26"/>
    <x v="93"/>
  </r>
  <r>
    <x v="5"/>
    <s v="Stelps"/>
    <s v="Olafs"/>
    <x v="6"/>
    <s v="1:14:21"/>
    <x v="22"/>
  </r>
  <r>
    <x v="5"/>
    <s v="Stepens"/>
    <s v="Aloizs"/>
    <x v="33"/>
    <s v="1:39:58"/>
    <x v="60"/>
  </r>
  <r>
    <x v="2"/>
    <s v="Stephens"/>
    <s v="Raymond"/>
    <x v="1"/>
    <s v="1:48:40"/>
    <x v="144"/>
  </r>
  <r>
    <x v="2"/>
    <s v="Stepka"/>
    <s v="Jānis"/>
    <x v="1"/>
    <s v="1:14:26"/>
    <x v="111"/>
  </r>
  <r>
    <x v="3"/>
    <s v="Stepka"/>
    <s v="Zane"/>
    <x v="1"/>
    <s v="1:21:04"/>
    <x v="4"/>
  </r>
  <r>
    <x v="3"/>
    <s v="Stīpiņa"/>
    <s v="Līga"/>
    <x v="40"/>
    <s v="1:26:59"/>
    <x v="192"/>
  </r>
  <r>
    <x v="13"/>
    <s v="Stonis"/>
    <s v="Jānis"/>
    <x v="232"/>
    <s v="1:15:44"/>
    <x v="17"/>
  </r>
  <r>
    <x v="3"/>
    <s v="Stračinska"/>
    <s v="Evija"/>
    <x v="120"/>
    <s v="1:28:41"/>
    <x v="25"/>
  </r>
  <r>
    <x v="2"/>
    <s v="Stračinskis"/>
    <s v="Aivis"/>
    <x v="120"/>
    <s v="1:11:20"/>
    <x v="83"/>
  </r>
  <r>
    <x v="1"/>
    <s v="Strads"/>
    <s v="Marians"/>
    <x v="180"/>
    <s v="1:02:54"/>
    <x v="199"/>
  </r>
  <r>
    <x v="3"/>
    <s v="Strakša"/>
    <s v="Kristiāna"/>
    <x v="1"/>
    <s v="1:21:32"/>
    <x v="95"/>
  </r>
  <r>
    <x v="2"/>
    <s v="Strakšas"/>
    <s v="Aivars"/>
    <x v="1"/>
    <s v="1:19:32"/>
    <x v="85"/>
  </r>
  <r>
    <x v="2"/>
    <s v="Strangats"/>
    <s v="Valters"/>
    <x v="51"/>
    <s v="1:19:00"/>
    <x v="107"/>
  </r>
  <r>
    <x v="3"/>
    <s v="Straume"/>
    <s v="Māra"/>
    <x v="1"/>
    <s v="1:39:52"/>
    <x v="11"/>
  </r>
  <r>
    <x v="2"/>
    <s v="Straupe"/>
    <s v="Verners"/>
    <x v="63"/>
    <s v="1:03:07"/>
    <x v="102"/>
  </r>
  <r>
    <x v="2"/>
    <s v="Strauss"/>
    <s v="Uldis"/>
    <x v="233"/>
    <s v="1:15:41"/>
    <x v="1"/>
  </r>
  <r>
    <x v="0"/>
    <s v="Strazdiņa"/>
    <s v="Zaiga"/>
    <x v="234"/>
    <s v="1:45:57"/>
    <x v="66"/>
  </r>
  <r>
    <x v="1"/>
    <s v="Strazdiņš"/>
    <s v="Andris"/>
    <x v="1"/>
    <s v="1:55:33"/>
    <x v="170"/>
  </r>
  <r>
    <x v="2"/>
    <s v="Strēle"/>
    <s v="Armands"/>
    <x v="1"/>
    <s v="1:03:15"/>
    <x v="102"/>
  </r>
  <r>
    <x v="1"/>
    <s v="Strēlnieks"/>
    <s v="Sandis"/>
    <x v="120"/>
    <s v="1:24:54"/>
    <x v="3"/>
  </r>
  <r>
    <x v="2"/>
    <s v="Strupis"/>
    <s v="Dainis"/>
    <x v="1"/>
    <s v="1:06:12"/>
    <x v="209"/>
  </r>
  <r>
    <x v="2"/>
    <s v="Studāns"/>
    <s v="Artis"/>
    <x v="1"/>
    <s v="1:14:02"/>
    <x v="152"/>
  </r>
  <r>
    <x v="4"/>
    <s v="Stukuls"/>
    <s v="Jurģis"/>
    <x v="21"/>
    <s v="1:07:27"/>
    <x v="97"/>
  </r>
  <r>
    <x v="2"/>
    <s v="Stupins"/>
    <s v="Aleksejs"/>
    <x v="1"/>
    <s v="1:07:55"/>
    <x v="91"/>
  </r>
  <r>
    <x v="2"/>
    <s v="Stupins"/>
    <s v="Viktors"/>
    <x v="1"/>
    <s v="1:31:19"/>
    <x v="124"/>
  </r>
  <r>
    <x v="2"/>
    <s v="Stupins"/>
    <s v="Vitālijs"/>
    <x v="1"/>
    <s v="1:23:50"/>
    <x v="88"/>
  </r>
  <r>
    <x v="2"/>
    <s v="Stūrmanis"/>
    <s v="Stūrmanis"/>
    <x v="0"/>
    <s v="1:57:43"/>
    <x v="141"/>
  </r>
  <r>
    <x v="1"/>
    <s v="Stūrmanis"/>
    <s v="Kaspars"/>
    <x v="1"/>
    <s v="1:57:43"/>
    <x v="187"/>
  </r>
  <r>
    <x v="2"/>
    <s v="Suharevs"/>
    <s v="Ruslans"/>
    <x v="1"/>
    <s v="1:08:32"/>
    <x v="29"/>
  </r>
  <r>
    <x v="2"/>
    <s v="Sūna"/>
    <s v="Uldis"/>
    <x v="235"/>
    <s v="1:10:58"/>
    <x v="123"/>
  </r>
  <r>
    <x v="3"/>
    <s v="Sundukova"/>
    <s v="Elīna"/>
    <x v="1"/>
    <s v="1:30:18"/>
    <x v="140"/>
  </r>
  <r>
    <x v="2"/>
    <s v="Supe"/>
    <s v="Toms"/>
    <x v="1"/>
    <s v="1:29:16"/>
    <x v="70"/>
  </r>
  <r>
    <x v="6"/>
    <s v="Surgunts"/>
    <s v="Valdemārs"/>
    <x v="1"/>
    <s v="1:24:34"/>
    <x v="108"/>
  </r>
  <r>
    <x v="2"/>
    <s v="Suvorovs"/>
    <s v="Aleksandrs"/>
    <x v="1"/>
    <s v="1:18:16"/>
    <x v="84"/>
  </r>
  <r>
    <x v="2"/>
    <s v="Sviščš"/>
    <s v="Romans"/>
    <x v="87"/>
    <s v="1:00:16"/>
    <x v="114"/>
  </r>
  <r>
    <x v="4"/>
    <s v="Šāblis"/>
    <s v="Aivars"/>
    <x v="236"/>
    <s v="1:19:50"/>
    <x v="26"/>
  </r>
  <r>
    <x v="2"/>
    <s v="Šalts"/>
    <s v="Guntis"/>
    <x v="1"/>
    <s v="1:14:12"/>
    <x v="152"/>
  </r>
  <r>
    <x v="2"/>
    <s v="Šapiro"/>
    <s v="Juris"/>
    <x v="20"/>
    <s v="1:36:32"/>
    <x v="154"/>
  </r>
  <r>
    <x v="1"/>
    <s v="Šarākovs"/>
    <s v="Renārs"/>
    <x v="237"/>
    <s v="1:06:46"/>
    <x v="155"/>
  </r>
  <r>
    <x v="3"/>
    <s v="Šarova"/>
    <s v="Jana"/>
    <x v="1"/>
    <s v="1:34:35"/>
    <x v="99"/>
  </r>
  <r>
    <x v="3"/>
    <s v="Šāvēja"/>
    <s v="Vilma"/>
    <x v="1"/>
    <s v="1:26:38"/>
    <x v="42"/>
  </r>
  <r>
    <x v="3"/>
    <s v="Šāvēja"/>
    <s v="Līga"/>
    <x v="1"/>
    <s v="1:32:25"/>
    <x v="138"/>
  </r>
  <r>
    <x v="1"/>
    <s v="Šāvējs"/>
    <s v="Kārlis"/>
    <x v="69"/>
    <s v="1:06:01"/>
    <x v="184"/>
  </r>
  <r>
    <x v="14"/>
    <s v="Šāvējs"/>
    <s v="Jānis"/>
    <x v="1"/>
    <s v="1:51:52"/>
    <x v="144"/>
  </r>
  <r>
    <x v="2"/>
    <s v="Šelušenkovs"/>
    <s v="Grigorijs"/>
    <x v="30"/>
    <s v="1:08:35"/>
    <x v="29"/>
  </r>
  <r>
    <x v="2"/>
    <s v="Ševčenko"/>
    <s v="Ēriks"/>
    <x v="1"/>
    <s v="1:35:21"/>
    <x v="47"/>
  </r>
  <r>
    <x v="3"/>
    <s v="Šica"/>
    <s v="Arta"/>
    <x v="54"/>
    <s v="1:29:01"/>
    <x v="70"/>
  </r>
  <r>
    <x v="3"/>
    <s v="Šīmane"/>
    <s v="Ilze"/>
    <x v="74"/>
    <s v="1:37:52"/>
    <x v="212"/>
  </r>
  <r>
    <x v="1"/>
    <s v="Šinka"/>
    <s v="Arnis"/>
    <x v="1"/>
    <s v="1:18:47"/>
    <x v="151"/>
  </r>
  <r>
    <x v="1"/>
    <s v="Škapars"/>
    <s v="Kristaps"/>
    <x v="50"/>
    <s v="1:08:51"/>
    <x v="182"/>
  </r>
  <r>
    <x v="2"/>
    <s v="Škņarovs"/>
    <s v="Vladislavs"/>
    <x v="112"/>
    <s v="1:04:53"/>
    <x v="155"/>
  </r>
  <r>
    <x v="15"/>
    <s v="Šķeperis"/>
    <s v="Jānis"/>
    <x v="9"/>
    <s v="1:06:13"/>
    <x v="44"/>
  </r>
  <r>
    <x v="2"/>
    <s v="Šķeperis"/>
    <s v="Ģirts"/>
    <x v="9"/>
    <s v="1:15:01"/>
    <x v="94"/>
  </r>
  <r>
    <x v="1"/>
    <s v="Šķēps"/>
    <s v="Gints"/>
    <x v="53"/>
    <s v="1:20:23"/>
    <x v="84"/>
  </r>
  <r>
    <x v="0"/>
    <s v="Šķobe"/>
    <s v="Ieva"/>
    <x v="0"/>
    <s v="1:58:26"/>
    <x v="50"/>
  </r>
  <r>
    <x v="2"/>
    <s v="Šmerliņš"/>
    <s v="Gunārs"/>
    <x v="1"/>
    <s v="1:10:02"/>
    <x v="128"/>
  </r>
  <r>
    <x v="2"/>
    <s v="Šmits"/>
    <s v="Edgars"/>
    <x v="0"/>
    <s v="1:35:14"/>
    <x v="47"/>
  </r>
  <r>
    <x v="5"/>
    <s v="Šmits"/>
    <s v="Uldis"/>
    <x v="238"/>
    <s v="1:21:10"/>
    <x v="79"/>
  </r>
  <r>
    <x v="2"/>
    <s v="Šmits"/>
    <s v="Tomass"/>
    <x v="54"/>
    <s v="1:03:47"/>
    <x v="9"/>
  </r>
  <r>
    <x v="2"/>
    <s v="Šmits"/>
    <s v="Emīls"/>
    <x v="1"/>
    <s v="1:23:24"/>
    <x v="86"/>
  </r>
  <r>
    <x v="2"/>
    <s v="Šmits"/>
    <s v="Ivars"/>
    <x v="54"/>
    <s v="1:12:40"/>
    <x v="49"/>
  </r>
  <r>
    <x v="2"/>
    <s v="Šmits"/>
    <s v="Pēteris"/>
    <x v="54"/>
    <s v="1:20:57"/>
    <x v="4"/>
  </r>
  <r>
    <x v="2"/>
    <s v="Štāls"/>
    <s v="Artūrs"/>
    <x v="1"/>
    <s v="1:10:15"/>
    <x v="19"/>
  </r>
  <r>
    <x v="3"/>
    <s v="Šteinberga"/>
    <s v="Inese"/>
    <x v="1"/>
    <s v="1:14:35"/>
    <x v="12"/>
  </r>
  <r>
    <x v="3"/>
    <s v="Šteinberga"/>
    <s v="Aija"/>
    <x v="1"/>
    <s v="1:41:44"/>
    <x v="52"/>
  </r>
  <r>
    <x v="1"/>
    <s v="Šteinbergs"/>
    <s v="Ints"/>
    <x v="199"/>
    <s v="1:17:52"/>
    <x v="1"/>
  </r>
  <r>
    <x v="2"/>
    <s v="Šteinbergs"/>
    <s v="Aivars"/>
    <x v="1"/>
    <s v="1:22:31"/>
    <x v="3"/>
  </r>
  <r>
    <x v="2"/>
    <s v="Šterns"/>
    <s v="Kristaps"/>
    <x v="50"/>
    <s v="1:15:49"/>
    <x v="74"/>
  </r>
  <r>
    <x v="2"/>
    <s v="Štrāls"/>
    <s v="Ziedonis"/>
    <x v="1"/>
    <s v="1:13:18"/>
    <x v="93"/>
  </r>
  <r>
    <x v="2"/>
    <s v="Štrauhmanis"/>
    <s v="Kaspars"/>
    <x v="1"/>
    <s v="1:06:48"/>
    <x v="176"/>
  </r>
  <r>
    <x v="1"/>
    <s v="Šuksts"/>
    <s v="Normuds"/>
    <x v="82"/>
    <s v="1:03:52"/>
    <x v="6"/>
  </r>
  <r>
    <x v="0"/>
    <s v="Šulce-Grante"/>
    <s v="Kristīne"/>
    <x v="1"/>
    <s v="1:28:18"/>
    <x v="112"/>
  </r>
  <r>
    <x v="1"/>
    <s v="Šulckis"/>
    <s v="Edgars"/>
    <x v="0"/>
    <s v="1:16:37"/>
    <x v="12"/>
  </r>
  <r>
    <x v="2"/>
    <s v="Šulcs"/>
    <s v="Ronalds"/>
    <x v="51"/>
    <s v="1:19:33"/>
    <x v="73"/>
  </r>
  <r>
    <x v="2"/>
    <s v="Šulcs"/>
    <s v="Imants"/>
    <x v="119"/>
    <s v="1:24:09"/>
    <x v="122"/>
  </r>
  <r>
    <x v="2"/>
    <s v="Šulmanis"/>
    <s v="Arilds"/>
    <x v="1"/>
    <s v="1:28:09"/>
    <x v="62"/>
  </r>
  <r>
    <x v="2"/>
    <s v="Šulmanis"/>
    <s v="Matīss"/>
    <x v="1"/>
    <s v="1:30:06"/>
    <x v="205"/>
  </r>
  <r>
    <x v="1"/>
    <s v="Šūlmeistars"/>
    <s v="Arnis"/>
    <x v="26"/>
    <s v="1:15:14"/>
    <x v="96"/>
  </r>
  <r>
    <x v="3"/>
    <s v="Šuvarkova"/>
    <s v="Elīza"/>
    <x v="63"/>
    <s v="1:23:25"/>
    <x v="86"/>
  </r>
  <r>
    <x v="2"/>
    <s v="Tabors"/>
    <s v="Dainis"/>
    <x v="1"/>
    <s v="1:29:07"/>
    <x v="70"/>
  </r>
  <r>
    <x v="2"/>
    <s v="Talcis"/>
    <s v="Normunds"/>
    <x v="1"/>
    <s v="1:04:17"/>
    <x v="44"/>
  </r>
  <r>
    <x v="2"/>
    <s v="Talcis"/>
    <s v="Raimonds"/>
    <x v="1"/>
    <s v="1:07:25"/>
    <x v="41"/>
  </r>
  <r>
    <x v="12"/>
    <s v="Tamanis"/>
    <s v="Andrejs"/>
    <x v="109"/>
    <s v="1:39:08"/>
    <x v="48"/>
  </r>
  <r>
    <x v="1"/>
    <s v="Tarans"/>
    <s v="Andrejs"/>
    <x v="236"/>
    <s v="1:21:41"/>
    <x v="85"/>
  </r>
  <r>
    <x v="3"/>
    <s v="Tarāsova"/>
    <s v="Tatjana"/>
    <x v="186"/>
    <s v="1:13:41"/>
    <x v="17"/>
  </r>
  <r>
    <x v="1"/>
    <s v="Tarasovs"/>
    <s v="Pāvels"/>
    <x v="43"/>
    <s v="1:10:10"/>
    <x v="206"/>
  </r>
  <r>
    <x v="0"/>
    <s v="Taupmane"/>
    <s v="Diāna"/>
    <x v="1"/>
    <s v="1:49:50"/>
    <x v="109"/>
  </r>
  <r>
    <x v="2"/>
    <s v="Tauriņš"/>
    <s v="Ziedonis"/>
    <x v="1"/>
    <s v="1:41:47"/>
    <x v="52"/>
  </r>
  <r>
    <x v="2"/>
    <s v="Tauriņš"/>
    <s v="Reinis"/>
    <x v="1"/>
    <s v="1:28:51"/>
    <x v="25"/>
  </r>
  <r>
    <x v="2"/>
    <s v="Teibe"/>
    <s v="Artis"/>
    <x v="124"/>
    <s v="1:10:57"/>
    <x v="123"/>
  </r>
  <r>
    <x v="2"/>
    <s v="Teibe"/>
    <s v="Pēteris"/>
    <x v="124"/>
    <s v="1:18:26"/>
    <x v="46"/>
  </r>
  <r>
    <x v="2"/>
    <s v="Teirlynck"/>
    <s v="Mary"/>
    <x v="1"/>
    <s v="2:02:35"/>
    <x v="183"/>
  </r>
  <r>
    <x v="10"/>
    <s v="Temnovs"/>
    <s v="Raivis"/>
    <x v="89"/>
    <s v="1:39:10"/>
    <x v="48"/>
  </r>
  <r>
    <x v="1"/>
    <s v="Terinks"/>
    <s v="Raivis"/>
    <x v="62"/>
    <s v="1:23:46"/>
    <x v="95"/>
  </r>
  <r>
    <x v="2"/>
    <s v="Teteris"/>
    <s v="Uģis"/>
    <x v="202"/>
    <s v="1:12:11"/>
    <x v="22"/>
  </r>
  <r>
    <x v="2"/>
    <s v="Tihonovs"/>
    <s v="Aleksandrs"/>
    <x v="0"/>
    <s v="1:16:59"/>
    <x v="157"/>
  </r>
  <r>
    <x v="1"/>
    <s v="Tīlišķis"/>
    <s v="Māris"/>
    <x v="239"/>
    <s v="1:18:46"/>
    <x v="151"/>
  </r>
  <r>
    <x v="2"/>
    <s v="Timofejevs"/>
    <s v="Jurijs"/>
    <x v="10"/>
    <s v="1:17:17"/>
    <x v="98"/>
  </r>
  <r>
    <x v="3"/>
    <s v="Tīruma"/>
    <s v="Maija"/>
    <x v="5"/>
    <s v="1:12:53"/>
    <x v="49"/>
  </r>
  <r>
    <x v="3"/>
    <s v="Tīruma"/>
    <s v="Laima"/>
    <x v="5"/>
    <s v="1:43:51"/>
    <x v="69"/>
  </r>
  <r>
    <x v="14"/>
    <s v="Tjarve"/>
    <s v="Vladislavs"/>
    <x v="1"/>
    <s v="1:25:52"/>
    <x v="86"/>
  </r>
  <r>
    <x v="3"/>
    <s v="Tola"/>
    <s v="Liene"/>
    <x v="50"/>
    <s v="2:06:09"/>
    <x v="188"/>
  </r>
  <r>
    <x v="2"/>
    <s v="Tols"/>
    <s v="Gundars"/>
    <x v="1"/>
    <s v="1:58:31"/>
    <x v="142"/>
  </r>
  <r>
    <x v="5"/>
    <s v="Tomsons"/>
    <s v="Vilmārs"/>
    <x v="240"/>
    <s v="1:03:22"/>
    <x v="177"/>
  </r>
  <r>
    <x v="13"/>
    <s v="Tomsons"/>
    <s v="Rihards"/>
    <x v="240"/>
    <s v="1:15:49"/>
    <x v="45"/>
  </r>
  <r>
    <x v="13"/>
    <s v="Tomševics"/>
    <s v="Tomass"/>
    <x v="1"/>
    <s v="1:41:47"/>
    <x v="135"/>
  </r>
  <r>
    <x v="5"/>
    <s v="Tomševics"/>
    <s v="Elans"/>
    <x v="1"/>
    <s v="1:14:25"/>
    <x v="22"/>
  </r>
  <r>
    <x v="2"/>
    <s v="Toomingas"/>
    <s v="Priit"/>
    <x v="146"/>
    <s v="1:15:40"/>
    <x v="1"/>
  </r>
  <r>
    <x v="0"/>
    <s v="Traniņa"/>
    <s v="Dace"/>
    <x v="241"/>
    <s v="1:28:06"/>
    <x v="58"/>
  </r>
  <r>
    <x v="3"/>
    <s v="Trautmane"/>
    <s v="Anna"/>
    <x v="11"/>
    <s v="1:34:45"/>
    <x v="67"/>
  </r>
  <r>
    <x v="8"/>
    <s v="Trautmanis"/>
    <s v="Mārtiņš"/>
    <x v="11"/>
    <s v="1:37:38"/>
    <x v="36"/>
  </r>
  <r>
    <x v="2"/>
    <s v="Trautmanis"/>
    <s v="Normunds"/>
    <x v="11"/>
    <s v="1:23:40"/>
    <x v="88"/>
  </r>
  <r>
    <x v="3"/>
    <s v="Treimane"/>
    <s v="Baiba"/>
    <x v="51"/>
    <s v="1:36:03"/>
    <x v="59"/>
  </r>
  <r>
    <x v="2"/>
    <s v="Trifānovs"/>
    <s v="Romāns"/>
    <x v="10"/>
    <s v="1:23:14"/>
    <x v="7"/>
  </r>
  <r>
    <x v="7"/>
    <s v="Trofimovs"/>
    <s v="Viktors"/>
    <x v="33"/>
    <s v="1:39:30"/>
    <x v="163"/>
  </r>
  <r>
    <x v="2"/>
    <s v="Trojonovs"/>
    <s v="Andrejs"/>
    <x v="112"/>
    <s v="1:17:04"/>
    <x v="157"/>
  </r>
  <r>
    <x v="2"/>
    <s v="Trops"/>
    <s v="Andrejs"/>
    <x v="1"/>
    <s v="1:03:05"/>
    <x v="102"/>
  </r>
  <r>
    <x v="3"/>
    <s v="Trubicino"/>
    <s v="Anastasija"/>
    <x v="87"/>
    <s v="1:33:34"/>
    <x v="173"/>
  </r>
  <r>
    <x v="2"/>
    <s v="Turauskis"/>
    <s v="Nils"/>
    <x v="10"/>
    <s v="1:43:58"/>
    <x v="168"/>
  </r>
  <r>
    <x v="10"/>
    <s v="Ūdris"/>
    <s v="Edgars"/>
    <x v="180"/>
    <s v="1:38:52"/>
    <x v="28"/>
  </r>
  <r>
    <x v="2"/>
    <s v="Ūdris"/>
    <s v="Haralds"/>
    <x v="54"/>
    <s v="1:29:00"/>
    <x v="70"/>
  </r>
  <r>
    <x v="1"/>
    <s v="Ukins"/>
    <s v="Valdis"/>
    <x v="62"/>
    <s v="1:08:52"/>
    <x v="182"/>
  </r>
  <r>
    <x v="1"/>
    <s v="Ulmis"/>
    <s v="Jānis"/>
    <x v="1"/>
    <s v="1:17:54"/>
    <x v="1"/>
  </r>
  <r>
    <x v="2"/>
    <s v="Ulpe"/>
    <s v="Ģirts"/>
    <x v="49"/>
    <s v="1:20:30"/>
    <x v="51"/>
  </r>
  <r>
    <x v="2"/>
    <s v="Upe"/>
    <s v="Artūrs"/>
    <x v="242"/>
    <s v="1:08:54"/>
    <x v="216"/>
  </r>
  <r>
    <x v="3"/>
    <s v="Upīte-Upenie"/>
    <s v="Ieva"/>
    <x v="1"/>
    <s v="1:31:59"/>
    <x v="145"/>
  </r>
  <r>
    <x v="2"/>
    <s v="Upītis-Upeni"/>
    <s v="Andis"/>
    <x v="1"/>
    <s v="1:10:01"/>
    <x v="128"/>
  </r>
  <r>
    <x v="2"/>
    <s v="Upmalis"/>
    <s v="Vidvuds"/>
    <x v="1"/>
    <s v="1:15:45"/>
    <x v="1"/>
  </r>
  <r>
    <x v="2"/>
    <s v="Urbāns"/>
    <s v="Arnis"/>
    <x v="243"/>
    <s v="1:12:14"/>
    <x v="22"/>
  </r>
  <r>
    <x v="2"/>
    <s v="Ustinovičs"/>
    <s v="Valentīns"/>
    <x v="244"/>
    <s v="1:01:48"/>
    <x v="64"/>
  </r>
  <r>
    <x v="2"/>
    <s v="Ustinovičs"/>
    <s v="Jevgenijs"/>
    <x v="245"/>
    <s v="1:05:20"/>
    <x v="113"/>
  </r>
  <r>
    <x v="2"/>
    <s v="Ustinovs"/>
    <s v="Georgs"/>
    <x v="9"/>
    <s v="1:26:42"/>
    <x v="42"/>
  </r>
  <r>
    <x v="3"/>
    <s v="Uzija"/>
    <s v="Lauma"/>
    <x v="1"/>
    <s v="1:28:50"/>
    <x v="25"/>
  </r>
  <r>
    <x v="2"/>
    <s v="Uzkalns"/>
    <s v="Mārtiņš"/>
    <x v="157"/>
    <s v="1:17:39"/>
    <x v="26"/>
  </r>
  <r>
    <x v="12"/>
    <s v="Uzulis"/>
    <s v="Aivars"/>
    <x v="109"/>
    <s v="1:53:08"/>
    <x v="235"/>
  </r>
  <r>
    <x v="5"/>
    <s v="Užāns"/>
    <s v="Andis"/>
    <x v="1"/>
    <s v="1:48:14"/>
    <x v="146"/>
  </r>
  <r>
    <x v="2"/>
    <s v="Užāns"/>
    <s v="Ģirts"/>
    <x v="1"/>
    <s v="1:30:00"/>
    <x v="205"/>
  </r>
  <r>
    <x v="0"/>
    <s v="Vabole"/>
    <s v="Daina"/>
    <x v="50"/>
    <s v="2:13:32"/>
    <x v="175"/>
  </r>
  <r>
    <x v="5"/>
    <s v="Vaikulis"/>
    <s v="Aivars"/>
    <x v="1"/>
    <s v="1:55:13"/>
    <x v="32"/>
  </r>
  <r>
    <x v="2"/>
    <s v="Vaipans"/>
    <s v="Staņislavs"/>
    <x v="40"/>
    <s v="1:18:29"/>
    <x v="46"/>
  </r>
  <r>
    <x v="2"/>
    <s v="Vaitekūns"/>
    <s v="Gundars"/>
    <x v="9"/>
    <s v="1:07:53"/>
    <x v="91"/>
  </r>
  <r>
    <x v="2"/>
    <s v="Vaitekūns"/>
    <s v="Andris"/>
    <x v="9"/>
    <s v="1:09:23"/>
    <x v="78"/>
  </r>
  <r>
    <x v="3"/>
    <s v="Vaivare"/>
    <s v="Ruta"/>
    <x v="119"/>
    <s v="1:11:31"/>
    <x v="40"/>
  </r>
  <r>
    <x v="5"/>
    <s v="Vaivars"/>
    <s v="Gints"/>
    <x v="119"/>
    <s v="1:18:18"/>
    <x v="196"/>
  </r>
  <r>
    <x v="1"/>
    <s v="Valpēteris"/>
    <s v="Kaspars"/>
    <x v="101"/>
    <s v="1:17:17"/>
    <x v="94"/>
  </r>
  <r>
    <x v="2"/>
    <s v="Vanags"/>
    <s v="Kārlis"/>
    <x v="53"/>
    <s v="1:02:56"/>
    <x v="2"/>
  </r>
  <r>
    <x v="2"/>
    <s v="Vasiļevskis"/>
    <s v="Sandis"/>
    <x v="50"/>
    <s v="1:25:48"/>
    <x v="112"/>
  </r>
  <r>
    <x v="2"/>
    <s v="Vasins"/>
    <s v="Toms"/>
    <x v="51"/>
    <s v="1:07:49"/>
    <x v="91"/>
  </r>
  <r>
    <x v="2"/>
    <s v="Vasks"/>
    <s v="Jānis"/>
    <x v="1"/>
    <s v="1:03:34"/>
    <x v="116"/>
  </r>
  <r>
    <x v="2"/>
    <s v="Vāvere"/>
    <s v="Māris"/>
    <x v="1"/>
    <s v="1:40:01"/>
    <x v="10"/>
  </r>
  <r>
    <x v="1"/>
    <s v="Vazdiķis"/>
    <s v="Dainis"/>
    <x v="1"/>
    <s v="1:10:54"/>
    <x v="216"/>
  </r>
  <r>
    <x v="12"/>
    <s v="Vecenans"/>
    <s v="Arnis"/>
    <x v="1"/>
    <s v="2:06:01"/>
    <x v="177"/>
  </r>
  <r>
    <x v="9"/>
    <s v="Vectirāns"/>
    <s v="Gundars"/>
    <x v="246"/>
    <s v="2:08:34"/>
    <x v="2"/>
  </r>
  <r>
    <x v="3"/>
    <s v="Vegnere"/>
    <s v="Una"/>
    <x v="157"/>
    <s v="1:47:26"/>
    <x v="156"/>
  </r>
  <r>
    <x v="5"/>
    <s v="Vēģelis"/>
    <s v="Saulis"/>
    <x v="1"/>
    <s v="1:27:07"/>
    <x v="179"/>
  </r>
  <r>
    <x v="3"/>
    <s v="Veide"/>
    <s v="Edīte"/>
    <x v="54"/>
    <s v="1:15:41"/>
    <x v="1"/>
  </r>
  <r>
    <x v="2"/>
    <s v="Veide"/>
    <s v="Rūdolfs"/>
    <x v="2"/>
    <s v="1:03:26"/>
    <x v="227"/>
  </r>
  <r>
    <x v="3"/>
    <s v="Veide"/>
    <s v="Anita"/>
    <x v="1"/>
    <s v="1:40:23"/>
    <x v="10"/>
  </r>
  <r>
    <x v="1"/>
    <s v="Veidemanis"/>
    <s v="Gints"/>
    <x v="1"/>
    <s v="1:45:55"/>
    <x v="66"/>
  </r>
  <r>
    <x v="1"/>
    <s v="Veinbergs"/>
    <s v="Andris"/>
    <x v="1"/>
    <s v="1:24:45"/>
    <x v="3"/>
  </r>
  <r>
    <x v="1"/>
    <s v="Veinbergs"/>
    <s v="Imants"/>
    <x v="1"/>
    <s v="1:19:02"/>
    <x v="14"/>
  </r>
  <r>
    <x v="2"/>
    <s v="Veinbergs"/>
    <s v="Uldis"/>
    <x v="1"/>
    <s v="1:39:51"/>
    <x v="11"/>
  </r>
  <r>
    <x v="1"/>
    <s v="Veismanis"/>
    <s v="Intars"/>
    <x v="102"/>
    <s v="1:11:20"/>
    <x v="78"/>
  </r>
  <r>
    <x v="2"/>
    <s v="Vējiņš"/>
    <s v="Andis"/>
    <x v="247"/>
    <s v="1:20:52"/>
    <x v="4"/>
  </r>
  <r>
    <x v="2"/>
    <s v="Veličko"/>
    <s v="Rūdolfs"/>
    <x v="109"/>
    <s v="1:16:27"/>
    <x v="151"/>
  </r>
  <r>
    <x v="17"/>
    <s v="Velke"/>
    <s v="Elīna"/>
    <x v="1"/>
    <s v="1:53:21"/>
    <x v="236"/>
  </r>
  <r>
    <x v="2"/>
    <s v="Verdens"/>
    <s v="Kaspars"/>
    <x v="1"/>
    <s v="1:26:35"/>
    <x v="42"/>
  </r>
  <r>
    <x v="2"/>
    <s v="Vertuls"/>
    <s v="Ivars"/>
    <x v="198"/>
    <s v="1:14:03"/>
    <x v="152"/>
  </r>
  <r>
    <x v="2"/>
    <s v="Vesers"/>
    <s v="Valdis"/>
    <x v="3"/>
    <s v="1:02:04"/>
    <x v="6"/>
  </r>
  <r>
    <x v="1"/>
    <s v="Vidžups"/>
    <s v="Egīls"/>
    <x v="167"/>
    <s v="1:10:02"/>
    <x v="54"/>
  </r>
  <r>
    <x v="1"/>
    <s v="Vīksna"/>
    <s v="Viesturs"/>
    <x v="1"/>
    <s v="1:34:03"/>
    <x v="124"/>
  </r>
  <r>
    <x v="5"/>
    <s v="Vīksna"/>
    <s v="Agris"/>
    <x v="248"/>
    <s v="1:58:11"/>
    <x v="50"/>
  </r>
  <r>
    <x v="2"/>
    <s v="Vīksne"/>
    <s v="Edvīns"/>
    <x v="0"/>
    <s v="1:25:07"/>
    <x v="130"/>
  </r>
  <r>
    <x v="4"/>
    <s v="Vikštrems"/>
    <s v="Arvils"/>
    <x v="1"/>
    <s v="1:48:13"/>
    <x v="146"/>
  </r>
  <r>
    <x v="2"/>
    <s v="Vilāns"/>
    <s v="Jānis"/>
    <x v="1"/>
    <s v="1:36:19"/>
    <x v="59"/>
  </r>
  <r>
    <x v="2"/>
    <s v="Viļimas"/>
    <s v="Aļģirds"/>
    <x v="1"/>
    <s v="1:06:16"/>
    <x v="33"/>
  </r>
  <r>
    <x v="1"/>
    <s v="Viļķis"/>
    <s v="Gunārs"/>
    <x v="53"/>
    <s v="1:05:22"/>
    <x v="116"/>
  </r>
  <r>
    <x v="1"/>
    <s v="Viļumovs"/>
    <s v="Ivo"/>
    <x v="75"/>
    <s v="1:05:55"/>
    <x v="184"/>
  </r>
  <r>
    <x v="2"/>
    <s v="Vimba"/>
    <s v="Jānis"/>
    <x v="120"/>
    <s v="1:15:27"/>
    <x v="71"/>
  </r>
  <r>
    <x v="2"/>
    <s v="Vingris"/>
    <s v="Mārtiņš"/>
    <x v="14"/>
    <s v="1:07:55"/>
    <x v="91"/>
  </r>
  <r>
    <x v="3"/>
    <s v="Virsnīte"/>
    <s v="Ilona"/>
    <x v="1"/>
    <s v="1:27:04"/>
    <x v="192"/>
  </r>
  <r>
    <x v="1"/>
    <s v="Virza"/>
    <s v="Jānis"/>
    <x v="61"/>
    <s v="1:29:41"/>
    <x v="153"/>
  </r>
  <r>
    <x v="3"/>
    <s v="Visnola"/>
    <s v="Dace"/>
    <x v="51"/>
    <s v="1:28:32"/>
    <x v="87"/>
  </r>
  <r>
    <x v="2"/>
    <s v="Visockis"/>
    <s v="Kristaps"/>
    <x v="175"/>
    <s v="1:18:10"/>
    <x v="84"/>
  </r>
  <r>
    <x v="15"/>
    <s v="Visockis"/>
    <s v="Miķelis"/>
    <x v="175"/>
    <s v="1:22:06"/>
    <x v="73"/>
  </r>
  <r>
    <x v="1"/>
    <s v="Viškers"/>
    <s v="Jānis"/>
    <x v="57"/>
    <s v="1:22:05"/>
    <x v="73"/>
  </r>
  <r>
    <x v="1"/>
    <s v="Vīte"/>
    <s v="Miķelis"/>
    <x v="15"/>
    <s v="0:59:08"/>
    <x v="185"/>
  </r>
  <r>
    <x v="2"/>
    <s v="Vitenburgs"/>
    <s v="Aldis"/>
    <x v="9"/>
    <s v="1:21:05"/>
    <x v="8"/>
  </r>
  <r>
    <x v="3"/>
    <s v="Vītola"/>
    <s v="Vītola"/>
    <x v="249"/>
    <s v="1:25:05"/>
    <x v="130"/>
  </r>
  <r>
    <x v="3"/>
    <s v="Vītoliņa"/>
    <s v="Ārija"/>
    <x v="3"/>
    <s v="1:37:38"/>
    <x v="225"/>
  </r>
  <r>
    <x v="1"/>
    <s v="Vītoliņš"/>
    <s v="Gatis"/>
    <x v="1"/>
    <s v="1:04:02"/>
    <x v="90"/>
  </r>
  <r>
    <x v="1"/>
    <s v="Vītols"/>
    <s v="Gints"/>
    <x v="1"/>
    <s v="1:18:42"/>
    <x v="151"/>
  </r>
  <r>
    <x v="2"/>
    <s v="Vītols"/>
    <s v="Agris"/>
    <x v="1"/>
    <s v="1:16:21"/>
    <x v="196"/>
  </r>
  <r>
    <x v="2"/>
    <s v="Vītols"/>
    <s v="Mārtiņš"/>
    <x v="50"/>
    <s v="1:22:22"/>
    <x v="3"/>
  </r>
  <r>
    <x v="3"/>
    <s v="Vlasova"/>
    <s v="Lida"/>
    <x v="28"/>
    <s v="2:06:12"/>
    <x v="188"/>
  </r>
  <r>
    <x v="3"/>
    <s v="Voicehoviča"/>
    <s v="Baiba"/>
    <x v="1"/>
    <s v="1:44:21"/>
    <x v="168"/>
  </r>
  <r>
    <x v="13"/>
    <s v="Voika"/>
    <s v="Elvis"/>
    <x v="52"/>
    <s v="1:23:07"/>
    <x v="4"/>
  </r>
  <r>
    <x v="3"/>
    <s v="Voitkāne"/>
    <s v="Ligita"/>
    <x v="1"/>
    <s v="1:37:09"/>
    <x v="60"/>
  </r>
  <r>
    <x v="3"/>
    <s v="Volkova"/>
    <s v="Žanna"/>
    <x v="22"/>
    <s v="1:51:22"/>
    <x v="215"/>
  </r>
  <r>
    <x v="2"/>
    <s v="Volkovičs"/>
    <s v="Oļegs"/>
    <x v="1"/>
    <s v="1:00:31"/>
    <x v="203"/>
  </r>
  <r>
    <x v="2"/>
    <s v="Volkovs"/>
    <s v="Jānis"/>
    <x v="22"/>
    <s v="2:01:42"/>
    <x v="61"/>
  </r>
  <r>
    <x v="1"/>
    <s v="Volodko"/>
    <s v="Mihails"/>
    <x v="0"/>
    <s v="1:23:26"/>
    <x v="8"/>
  </r>
  <r>
    <x v="10"/>
    <s v="Vosekalns"/>
    <s v="Viktors"/>
    <x v="118"/>
    <s v="1:39:14"/>
    <x v="48"/>
  </r>
  <r>
    <x v="2"/>
    <s v="Vronskis"/>
    <s v="Fēliks"/>
    <x v="109"/>
    <s v="1:04:59"/>
    <x v="155"/>
  </r>
  <r>
    <x v="1"/>
    <s v="Yakovlev"/>
    <s v="Sergey"/>
    <x v="250"/>
    <s v="1:24:30"/>
    <x v="108"/>
  </r>
  <r>
    <x v="0"/>
    <s v="Zagorska"/>
    <s v="Linda"/>
    <x v="251"/>
    <s v="2:04:32"/>
    <x v="119"/>
  </r>
  <r>
    <x v="1"/>
    <s v="Zagorskis"/>
    <s v="Ingars"/>
    <x v="252"/>
    <s v="1:05:53"/>
    <x v="184"/>
  </r>
  <r>
    <x v="2"/>
    <s v="Zagorskis"/>
    <s v="Dāvis"/>
    <x v="230"/>
    <s v="1:15:15"/>
    <x v="94"/>
  </r>
  <r>
    <x v="2"/>
    <s v="Zagorskis"/>
    <s v="Tālivaldis"/>
    <x v="230"/>
    <s v="1:16:28"/>
    <x v="151"/>
  </r>
  <r>
    <x v="2"/>
    <s v="Zagorskis"/>
    <s v="Jānis"/>
    <x v="1"/>
    <s v="1:12:31"/>
    <x v="55"/>
  </r>
  <r>
    <x v="5"/>
    <s v="Zaķis"/>
    <s v="Ilmārs"/>
    <x v="1"/>
    <s v="1:13:58"/>
    <x v="92"/>
  </r>
  <r>
    <x v="3"/>
    <s v="Zalcmane"/>
    <s v="Agnese"/>
    <x v="253"/>
    <s v="1:45:21"/>
    <x v="146"/>
  </r>
  <r>
    <x v="15"/>
    <s v="Zalcmanis"/>
    <s v="Agris"/>
    <x v="40"/>
    <s v="1:44:23"/>
    <x v="52"/>
  </r>
  <r>
    <x v="2"/>
    <s v="Zālītis"/>
    <s v="Didzis"/>
    <x v="1"/>
    <s v="1:06:33"/>
    <x v="31"/>
  </r>
  <r>
    <x v="8"/>
    <s v="Zālītis"/>
    <s v="Artūrs"/>
    <x v="59"/>
    <s v="1:39:33"/>
    <x v="166"/>
  </r>
  <r>
    <x v="1"/>
    <s v="Zālītis"/>
    <s v="Edgars"/>
    <x v="234"/>
    <s v="1:11:14"/>
    <x v="115"/>
  </r>
  <r>
    <x v="2"/>
    <s v="Zandovskis"/>
    <s v="Dzintars"/>
    <x v="10"/>
    <s v="1:20:12"/>
    <x v="195"/>
  </r>
  <r>
    <x v="0"/>
    <s v="Zariņa"/>
    <s v="Kristīne"/>
    <x v="254"/>
    <s v="1:26:22"/>
    <x v="88"/>
  </r>
  <r>
    <x v="10"/>
    <s v="Zariņš"/>
    <s v="Normunds"/>
    <x v="180"/>
    <s v="1:39:02"/>
    <x v="28"/>
  </r>
  <r>
    <x v="1"/>
    <s v="Zariņš"/>
    <s v="Kristaps"/>
    <x v="1"/>
    <s v="1:11:34"/>
    <x v="194"/>
  </r>
  <r>
    <x v="2"/>
    <s v="Zariņš"/>
    <s v="Sandris"/>
    <x v="1"/>
    <s v="1:03:56"/>
    <x v="77"/>
  </r>
  <r>
    <x v="1"/>
    <s v="Zariņš"/>
    <s v="Ainārs"/>
    <x v="163"/>
    <s v="1:45:17"/>
    <x v="103"/>
  </r>
  <r>
    <x v="2"/>
    <s v="Zariņš"/>
    <s v="Zigurds"/>
    <x v="1"/>
    <s v="1:34:33"/>
    <x v="99"/>
  </r>
  <r>
    <x v="3"/>
    <s v="Zavicka"/>
    <s v="Ilze"/>
    <x v="10"/>
    <s v="1:21:39"/>
    <x v="95"/>
  </r>
  <r>
    <x v="2"/>
    <s v="Zavickis"/>
    <s v="Gaidis"/>
    <x v="10"/>
    <s v="1:20:38"/>
    <x v="51"/>
  </r>
  <r>
    <x v="13"/>
    <s v="Zbitņevs"/>
    <s v="Lauris"/>
    <x v="52"/>
    <s v="1:09:06"/>
    <x v="131"/>
  </r>
  <r>
    <x v="15"/>
    <s v="Zdanovskis"/>
    <s v="Arnis"/>
    <x v="255"/>
    <s v="1:05:02"/>
    <x v="102"/>
  </r>
  <r>
    <x v="2"/>
    <s v="Zdanovskis"/>
    <s v="Jānis"/>
    <x v="97"/>
    <s v="1:07:39"/>
    <x v="208"/>
  </r>
  <r>
    <x v="1"/>
    <s v="Zeics"/>
    <s v="Guntars"/>
    <x v="1"/>
    <s v="1:17:34"/>
    <x v="71"/>
  </r>
  <r>
    <x v="2"/>
    <s v="Zeiza"/>
    <s v="Roberts"/>
    <x v="22"/>
    <s v="1:32:55"/>
    <x v="5"/>
  </r>
  <r>
    <x v="3"/>
    <s v="Zelča"/>
    <s v="Lolita"/>
    <x v="256"/>
    <s v="1:52:25"/>
    <x v="170"/>
  </r>
  <r>
    <x v="1"/>
    <s v="Zelčs"/>
    <s v="Romualds"/>
    <x v="1"/>
    <s v="1:14:07"/>
    <x v="39"/>
  </r>
  <r>
    <x v="2"/>
    <s v="Zelčs"/>
    <s v="Aigars"/>
    <x v="256"/>
    <s v="1:48:59"/>
    <x v="23"/>
  </r>
  <r>
    <x v="2"/>
    <s v="Zelčs"/>
    <s v="Mārtiņš"/>
    <x v="257"/>
    <s v="1:03:17"/>
    <x v="227"/>
  </r>
  <r>
    <x v="2"/>
    <s v="Zeļonka"/>
    <s v="Edvīns"/>
    <x v="1"/>
    <s v="1:14:02"/>
    <x v="152"/>
  </r>
  <r>
    <x v="5"/>
    <s v="Zembergs"/>
    <s v="Māris"/>
    <x v="1"/>
    <s v="1:11:39"/>
    <x v="194"/>
  </r>
  <r>
    <x v="2"/>
    <s v="Zemitis"/>
    <s v="Martins"/>
    <x v="258"/>
    <s v="0:57:30"/>
    <x v="185"/>
  </r>
  <r>
    <x v="2"/>
    <s v="Zemītis"/>
    <s v="Kārlis"/>
    <x v="54"/>
    <s v="1:36:51"/>
    <x v="60"/>
  </r>
  <r>
    <x v="2"/>
    <s v="Zeņģis"/>
    <s v="Aivis"/>
    <x v="259"/>
    <s v="1:06:27"/>
    <x v="33"/>
  </r>
  <r>
    <x v="15"/>
    <s v="Zeps"/>
    <s v="Māris"/>
    <x v="0"/>
    <s v="1:19:05"/>
    <x v="14"/>
  </r>
  <r>
    <x v="1"/>
    <s v="Zeps"/>
    <s v="Armands"/>
    <x v="0"/>
    <s v="1:24:07"/>
    <x v="101"/>
  </r>
  <r>
    <x v="2"/>
    <s v="Ziders"/>
    <s v="Ritvars"/>
    <x v="1"/>
    <s v="1:22:25"/>
    <x v="3"/>
  </r>
  <r>
    <x v="2"/>
    <s v="Ziediņš"/>
    <s v="Agris"/>
    <x v="28"/>
    <s v="2:41:15"/>
    <x v="213"/>
  </r>
  <r>
    <x v="2"/>
    <s v="Ziemelis"/>
    <s v="Raimonds"/>
    <x v="1"/>
    <s v="1:15:43"/>
    <x v="1"/>
  </r>
  <r>
    <x v="13"/>
    <s v="Zikmanis"/>
    <s v="Juris"/>
    <x v="167"/>
    <s v="1:22:02"/>
    <x v="73"/>
  </r>
  <r>
    <x v="1"/>
    <s v="Zilis"/>
    <s v="Aleksandrs"/>
    <x v="109"/>
    <s v="1:05:56"/>
    <x v="184"/>
  </r>
  <r>
    <x v="1"/>
    <s v="Zīverts"/>
    <s v="Mārtiņš"/>
    <x v="1"/>
    <s v="1:17:23"/>
    <x v="94"/>
  </r>
  <r>
    <x v="2"/>
    <s v="Zlotņikovs"/>
    <s v="Igors"/>
    <x v="1"/>
    <s v="0:58:00"/>
    <x v="126"/>
  </r>
  <r>
    <x v="2"/>
    <s v="Znotiņš"/>
    <s v="Kārlis"/>
    <x v="0"/>
    <s v="1:19:38"/>
    <x v="73"/>
  </r>
  <r>
    <x v="18"/>
    <s v="Zorģe       "/>
    <s v="Vita"/>
    <x v="69"/>
    <s v="1:39:36"/>
    <x v="166"/>
  </r>
  <r>
    <x v="3"/>
    <s v="Zvagūze"/>
    <s v="Monta"/>
    <x v="1"/>
    <s v="2:00:22"/>
    <x v="237"/>
  </r>
  <r>
    <x v="1"/>
    <s v="Zvaneris"/>
    <s v="Rihards"/>
    <x v="1"/>
    <s v="1:15:36"/>
    <x v="17"/>
  </r>
  <r>
    <x v="2"/>
    <s v="Zvīdriņš"/>
    <s v="Edgars"/>
    <x v="0"/>
    <s v="1:13:10"/>
    <x v="96"/>
  </r>
  <r>
    <x v="2"/>
    <s v="Zviedris"/>
    <s v="Māris"/>
    <x v="51"/>
    <s v="1:30:01"/>
    <x v="205"/>
  </r>
  <r>
    <x v="5"/>
    <s v="Zvingulis"/>
    <s v="Aigars"/>
    <x v="89"/>
    <s v="1:08:54"/>
    <x v="182"/>
  </r>
  <r>
    <x v="3"/>
    <s v="Zvirbule"/>
    <s v="Līna"/>
    <x v="0"/>
    <s v="1:13:44"/>
    <x v="45"/>
  </r>
  <r>
    <x v="2"/>
    <s v="Zvirbulis"/>
    <s v="Pauls"/>
    <x v="1"/>
    <s v="1:30:58"/>
    <x v="110"/>
  </r>
  <r>
    <x v="4"/>
    <s v="Zvirgzdiņš"/>
    <s v="Uģis"/>
    <x v="1"/>
    <s v="1:03:53"/>
    <x v="6"/>
  </r>
  <r>
    <x v="3"/>
    <s v="Zvjatkova"/>
    <s v="Velta"/>
    <x v="260"/>
    <s v="1:33:13"/>
    <x v="89"/>
  </r>
  <r>
    <x v="3"/>
    <s v="Žagata"/>
    <s v="Agnese"/>
    <x v="22"/>
    <s v="1:36:14"/>
    <x v="59"/>
  </r>
  <r>
    <x v="3"/>
    <s v="Žebere"/>
    <s v="Sandra"/>
    <x v="40"/>
    <s v="1:15:53"/>
    <x v="74"/>
  </r>
  <r>
    <x v="3"/>
    <s v="Žebere"/>
    <s v="Zane"/>
    <x v="40"/>
    <s v="1:10:23"/>
    <x v="19"/>
  </r>
  <r>
    <x v="2"/>
    <s v="Žebers"/>
    <s v="Ainārs"/>
    <x v="40"/>
    <s v="1:10:23"/>
    <x v="19"/>
  </r>
  <r>
    <x v="1"/>
    <s v="Žīgurs"/>
    <s v="Didzis"/>
    <x v="1"/>
    <s v="1:20:21"/>
    <x v="84"/>
  </r>
  <r>
    <x v="1"/>
    <s v="Žihars"/>
    <s v="Kārlis"/>
    <x v="1"/>
    <s v="1:23:42"/>
    <x v="8"/>
  </r>
  <r>
    <x v="1"/>
    <s v="Žižkuns"/>
    <s v="Jurijs"/>
    <x v="0"/>
    <s v="1:42:01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7A02C-93B5-4881-99F4-4FD9CD40423D}" name="Rakurstabula2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3:B13" firstHeaderRow="1" firstDataRow="1" firstDataCol="1"/>
  <pivotFields count="6">
    <pivotField axis="axisRow" showAll="0">
      <items count="20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t="default"/>
      </items>
    </pivotField>
    <pivotField showAll="0"/>
    <pivotField showAll="0"/>
    <pivotField showAll="0">
      <items count="262">
        <item x="1"/>
        <item x="145"/>
        <item x="105"/>
        <item x="51"/>
        <item x="101"/>
        <item x="252"/>
        <item x="249"/>
        <item x="248"/>
        <item x="246"/>
        <item x="223"/>
        <item x="217"/>
        <item x="19"/>
        <item x="125"/>
        <item x="134"/>
        <item x="49"/>
        <item x="170"/>
        <item x="91"/>
        <item x="100"/>
        <item x="226"/>
        <item x="154"/>
        <item x="138"/>
        <item x="137"/>
        <item x="92"/>
        <item x="195"/>
        <item x="84"/>
        <item x="74"/>
        <item x="81"/>
        <item x="242"/>
        <item x="231"/>
        <item x="239"/>
        <item x="6"/>
        <item x="77"/>
        <item x="73"/>
        <item x="136"/>
        <item x="103"/>
        <item x="122"/>
        <item x="63"/>
        <item x="71"/>
        <item x="26"/>
        <item x="60"/>
        <item x="129"/>
        <item x="207"/>
        <item x="57"/>
        <item x="109"/>
        <item x="32"/>
        <item x="212"/>
        <item x="70"/>
        <item x="232"/>
        <item x="196"/>
        <item x="135"/>
        <item x="190"/>
        <item x="112"/>
        <item x="186"/>
        <item x="181"/>
        <item x="24"/>
        <item x="133"/>
        <item x="237"/>
        <item x="164"/>
        <item x="156"/>
        <item x="240"/>
        <item x="179"/>
        <item x="110"/>
        <item x="200"/>
        <item x="89"/>
        <item x="123"/>
        <item x="149"/>
        <item x="37"/>
        <item x="62"/>
        <item x="224"/>
        <item x="68"/>
        <item x="176"/>
        <item x="131"/>
        <item x="34"/>
        <item x="148"/>
        <item x="153"/>
        <item x="139"/>
        <item x="50"/>
        <item x="93"/>
        <item x="142"/>
        <item x="210"/>
        <item x="86"/>
        <item x="130"/>
        <item x="76"/>
        <item x="219"/>
        <item x="90"/>
        <item x="253"/>
        <item x="41"/>
        <item x="25"/>
        <item x="7"/>
        <item x="72"/>
        <item x="39"/>
        <item x="61"/>
        <item x="151"/>
        <item x="67"/>
        <item x="257"/>
        <item x="96"/>
        <item x="22"/>
        <item x="198"/>
        <item x="211"/>
        <item x="204"/>
        <item x="64"/>
        <item x="17"/>
        <item x="18"/>
        <item x="229"/>
        <item x="4"/>
        <item x="185"/>
        <item x="54"/>
        <item x="106"/>
        <item x="225"/>
        <item x="143"/>
        <item x="21"/>
        <item x="144"/>
        <item x="44"/>
        <item x="157"/>
        <item x="175"/>
        <item x="16"/>
        <item x="33"/>
        <item x="205"/>
        <item x="216"/>
        <item x="171"/>
        <item x="251"/>
        <item x="78"/>
        <item x="201"/>
        <item x="218"/>
        <item x="66"/>
        <item x="187"/>
        <item x="43"/>
        <item x="14"/>
        <item x="258"/>
        <item x="250"/>
        <item x="141"/>
        <item x="230"/>
        <item x="132"/>
        <item x="180"/>
        <item x="87"/>
        <item x="241"/>
        <item x="206"/>
        <item x="146"/>
        <item x="238"/>
        <item x="35"/>
        <item x="124"/>
        <item x="38"/>
        <item x="188"/>
        <item x="260"/>
        <item x="47"/>
        <item x="193"/>
        <item x="20"/>
        <item x="162"/>
        <item x="119"/>
        <item x="167"/>
        <item x="121"/>
        <item x="220"/>
        <item x="236"/>
        <item x="99"/>
        <item x="173"/>
        <item x="45"/>
        <item x="46"/>
        <item x="172"/>
        <item x="169"/>
        <item x="203"/>
        <item x="243"/>
        <item x="53"/>
        <item x="128"/>
        <item x="75"/>
        <item x="15"/>
        <item x="191"/>
        <item x="0"/>
        <item x="155"/>
        <item x="159"/>
        <item x="160"/>
        <item x="161"/>
        <item x="199"/>
        <item x="55"/>
        <item x="197"/>
        <item x="183"/>
        <item x="202"/>
        <item x="208"/>
        <item x="48"/>
        <item x="158"/>
        <item x="165"/>
        <item x="127"/>
        <item x="213"/>
        <item x="10"/>
        <item x="65"/>
        <item x="104"/>
        <item x="140"/>
        <item x="117"/>
        <item x="108"/>
        <item x="114"/>
        <item x="235"/>
        <item x="102"/>
        <item x="95"/>
        <item x="94"/>
        <item x="52"/>
        <item x="192"/>
        <item x="29"/>
        <item x="227"/>
        <item x="113"/>
        <item x="79"/>
        <item x="234"/>
        <item x="69"/>
        <item x="215"/>
        <item x="255"/>
        <item x="97"/>
        <item x="182"/>
        <item x="59"/>
        <item x="177"/>
        <item x="28"/>
        <item x="194"/>
        <item x="163"/>
        <item x="168"/>
        <item x="126"/>
        <item x="82"/>
        <item x="118"/>
        <item x="27"/>
        <item x="36"/>
        <item x="184"/>
        <item x="23"/>
        <item x="83"/>
        <item x="178"/>
        <item x="152"/>
        <item x="31"/>
        <item x="244"/>
        <item x="209"/>
        <item x="166"/>
        <item x="13"/>
        <item x="120"/>
        <item x="8"/>
        <item x="116"/>
        <item x="98"/>
        <item x="222"/>
        <item x="107"/>
        <item x="12"/>
        <item x="214"/>
        <item x="56"/>
        <item x="42"/>
        <item x="85"/>
        <item x="9"/>
        <item x="11"/>
        <item x="2"/>
        <item x="5"/>
        <item x="247"/>
        <item x="245"/>
        <item x="3"/>
        <item x="233"/>
        <item x="88"/>
        <item x="147"/>
        <item x="254"/>
        <item x="150"/>
        <item x="189"/>
        <item x="221"/>
        <item x="174"/>
        <item x="228"/>
        <item x="256"/>
        <item x="111"/>
        <item x="259"/>
        <item x="115"/>
        <item x="80"/>
        <item x="30"/>
        <item x="58"/>
        <item x="40"/>
        <item t="default"/>
      </items>
    </pivotField>
    <pivotField showAll="0"/>
    <pivotField dataField="1" showAll="0">
      <items count="239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Fields count="1">
    <field x="0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ma no Ātrum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/>
  </sheetViews>
  <sheetFormatPr defaultRowHeight="16.95" customHeight="1" x14ac:dyDescent="0.25"/>
  <cols>
    <col min="1" max="1" width="61.88671875" customWidth="1"/>
  </cols>
  <sheetData>
    <row r="1" spans="1:2" ht="16.95" customHeight="1" x14ac:dyDescent="0.25">
      <c r="A1" s="11" t="s">
        <v>3888</v>
      </c>
    </row>
    <row r="2" spans="1:2" ht="16.95" customHeight="1" x14ac:dyDescent="0.25">
      <c r="A2" s="11" t="s">
        <v>3906</v>
      </c>
    </row>
    <row r="3" spans="1:2" ht="16.95" customHeight="1" x14ac:dyDescent="0.25">
      <c r="A3" s="11" t="s">
        <v>43</v>
      </c>
    </row>
    <row r="4" spans="1:2" ht="16.95" customHeight="1" x14ac:dyDescent="0.25">
      <c r="A4" s="53" t="s">
        <v>44</v>
      </c>
    </row>
    <row r="5" spans="1:2" ht="16.95" customHeight="1" x14ac:dyDescent="0.25">
      <c r="A5" s="44" t="s">
        <v>45</v>
      </c>
    </row>
    <row r="6" spans="1:2" ht="16.95" customHeight="1" x14ac:dyDescent="0.25">
      <c r="A6" s="11" t="s">
        <v>46</v>
      </c>
    </row>
    <row r="7" spans="1:2" ht="16.95" customHeight="1" x14ac:dyDescent="0.25">
      <c r="A7" s="11" t="s">
        <v>47</v>
      </c>
    </row>
    <row r="8" spans="1:2" ht="16.95" customHeight="1" x14ac:dyDescent="0.25">
      <c r="A8" s="11" t="s">
        <v>48</v>
      </c>
    </row>
    <row r="9" spans="1:2" ht="16.95" customHeight="1" x14ac:dyDescent="0.25">
      <c r="A9" s="11" t="s">
        <v>49</v>
      </c>
    </row>
    <row r="10" spans="1:2" ht="16.95" customHeight="1" x14ac:dyDescent="0.25">
      <c r="A10" s="11" t="s">
        <v>50</v>
      </c>
    </row>
    <row r="11" spans="1:2" ht="16.95" customHeight="1" x14ac:dyDescent="0.25">
      <c r="A11" s="11" t="s">
        <v>51</v>
      </c>
    </row>
    <row r="12" spans="1:2" ht="16.95" customHeight="1" x14ac:dyDescent="0.25">
      <c r="A12" s="44" t="s">
        <v>3911</v>
      </c>
    </row>
    <row r="13" spans="1:2" ht="16.95" customHeight="1" x14ac:dyDescent="0.25">
      <c r="A13" s="44" t="s">
        <v>3889</v>
      </c>
    </row>
    <row r="14" spans="1:2" ht="16.95" customHeight="1" x14ac:dyDescent="0.25">
      <c r="A14" s="12" t="s">
        <v>3899</v>
      </c>
      <c r="B14" s="7"/>
    </row>
    <row r="15" spans="1:2" ht="16.95" customHeight="1" x14ac:dyDescent="0.25">
      <c r="A15" s="13" t="s">
        <v>3900</v>
      </c>
    </row>
    <row r="16" spans="1:2" ht="16.95" customHeight="1" x14ac:dyDescent="0.25">
      <c r="A16" s="43" t="s">
        <v>59</v>
      </c>
    </row>
    <row r="17" spans="1:13" ht="16.2" customHeight="1" x14ac:dyDescent="0.25">
      <c r="A17" s="13" t="s">
        <v>60</v>
      </c>
    </row>
    <row r="18" spans="1:13" ht="16.95" customHeight="1" x14ac:dyDescent="0.25">
      <c r="A18" s="13" t="s">
        <v>3901</v>
      </c>
    </row>
    <row r="19" spans="1:13" ht="16.95" customHeight="1" x14ac:dyDescent="0.25">
      <c r="A19" s="13" t="s">
        <v>3902</v>
      </c>
    </row>
    <row r="20" spans="1:13" ht="16.95" customHeight="1" x14ac:dyDescent="0.25">
      <c r="A20" s="13" t="s">
        <v>3903</v>
      </c>
    </row>
    <row r="21" spans="1:13" ht="16.95" customHeight="1" x14ac:dyDescent="0.25">
      <c r="A21" s="39" t="s">
        <v>3904</v>
      </c>
    </row>
    <row r="22" spans="1:13" ht="16.95" customHeight="1" x14ac:dyDescent="0.25">
      <c r="A22" s="39" t="s">
        <v>102</v>
      </c>
    </row>
    <row r="23" spans="1:13" ht="16.95" customHeight="1" x14ac:dyDescent="0.25">
      <c r="A23" s="13" t="s">
        <v>103</v>
      </c>
    </row>
    <row r="24" spans="1:13" ht="16.95" customHeight="1" x14ac:dyDescent="0.25">
      <c r="A24" s="51" t="s">
        <v>3882</v>
      </c>
    </row>
    <row r="25" spans="1:13" ht="16.95" customHeight="1" x14ac:dyDescent="0.25">
      <c r="A25" s="52" t="s">
        <v>3905</v>
      </c>
    </row>
    <row r="26" spans="1:13" ht="16.95" customHeight="1" x14ac:dyDescent="0.25">
      <c r="A26" s="52" t="s">
        <v>3914</v>
      </c>
    </row>
    <row r="27" spans="1:13" ht="16.95" customHeight="1" x14ac:dyDescent="0.25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95" customHeight="1" x14ac:dyDescent="0.25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95" customHeight="1" x14ac:dyDescent="0.25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B14" sqref="B14:B16"/>
    </sheetView>
  </sheetViews>
  <sheetFormatPr defaultColWidth="9.109375" defaultRowHeight="15" customHeight="1" x14ac:dyDescent="0.25"/>
  <cols>
    <col min="1" max="1" width="51.33203125" customWidth="1"/>
    <col min="2" max="2" width="38.109375" style="9" customWidth="1"/>
    <col min="4" max="4" width="27" customWidth="1"/>
    <col min="6" max="6" width="33.6640625" customWidth="1"/>
  </cols>
  <sheetData>
    <row r="1" spans="1:6" ht="15" customHeight="1" x14ac:dyDescent="0.25">
      <c r="A1" s="66" t="s">
        <v>31</v>
      </c>
      <c r="B1" s="67"/>
      <c r="D1" s="79" t="s">
        <v>3915</v>
      </c>
      <c r="F1" s="10">
        <v>42007</v>
      </c>
    </row>
    <row r="2" spans="1:6" ht="15" customHeight="1" x14ac:dyDescent="0.25">
      <c r="A2" s="8" t="s">
        <v>32</v>
      </c>
      <c r="B2" s="59">
        <v>41883</v>
      </c>
      <c r="F2" s="10">
        <v>42014</v>
      </c>
    </row>
    <row r="3" spans="1:6" ht="15" customHeight="1" x14ac:dyDescent="0.25">
      <c r="A3" s="8" t="s">
        <v>33</v>
      </c>
      <c r="B3" s="59">
        <v>42153</v>
      </c>
      <c r="F3" s="10">
        <v>42021</v>
      </c>
    </row>
    <row r="4" spans="1:6" ht="15" customHeight="1" x14ac:dyDescent="0.25">
      <c r="A4" s="8" t="s">
        <v>34</v>
      </c>
      <c r="B4" s="59">
        <v>42139</v>
      </c>
      <c r="F4" s="10">
        <v>42028</v>
      </c>
    </row>
    <row r="5" spans="1:6" ht="15" customHeight="1" x14ac:dyDescent="0.25">
      <c r="A5" s="8" t="s">
        <v>35</v>
      </c>
      <c r="B5" s="59">
        <v>41939</v>
      </c>
      <c r="F5" s="10">
        <v>42035</v>
      </c>
    </row>
    <row r="6" spans="1:6" ht="15" customHeight="1" x14ac:dyDescent="0.25">
      <c r="A6" s="8" t="s">
        <v>36</v>
      </c>
      <c r="B6" s="59">
        <v>41943</v>
      </c>
      <c r="F6" s="10">
        <v>42042</v>
      </c>
    </row>
    <row r="7" spans="1:6" ht="15" customHeight="1" x14ac:dyDescent="0.25">
      <c r="A7" s="8" t="s">
        <v>37</v>
      </c>
      <c r="B7" s="59">
        <v>41995</v>
      </c>
      <c r="F7" s="10">
        <v>42049</v>
      </c>
    </row>
    <row r="8" spans="1:6" ht="15" customHeight="1" x14ac:dyDescent="0.25">
      <c r="A8" s="8" t="s">
        <v>38</v>
      </c>
      <c r="B8" s="59">
        <v>42006</v>
      </c>
      <c r="F8" s="10">
        <v>42056</v>
      </c>
    </row>
    <row r="9" spans="1:6" ht="15" customHeight="1" x14ac:dyDescent="0.25">
      <c r="A9" s="8" t="s">
        <v>39</v>
      </c>
      <c r="B9" s="59">
        <v>42079</v>
      </c>
      <c r="F9" s="10">
        <v>42063</v>
      </c>
    </row>
    <row r="10" spans="1:6" ht="15" customHeight="1" x14ac:dyDescent="0.25">
      <c r="A10" s="8" t="s">
        <v>40</v>
      </c>
      <c r="B10" s="59">
        <v>42083</v>
      </c>
      <c r="F10" s="10">
        <v>42070</v>
      </c>
    </row>
    <row r="11" spans="1:6" ht="15" customHeight="1" x14ac:dyDescent="0.25">
      <c r="A11" s="8" t="s">
        <v>41</v>
      </c>
      <c r="B11" s="59">
        <v>42086</v>
      </c>
      <c r="F11" s="10">
        <v>42077</v>
      </c>
    </row>
    <row r="12" spans="1:6" ht="15" customHeight="1" x14ac:dyDescent="0.25">
      <c r="A12" s="8" t="s">
        <v>42</v>
      </c>
      <c r="B12" s="59">
        <v>42090</v>
      </c>
      <c r="F12" s="10">
        <v>42084</v>
      </c>
    </row>
    <row r="13" spans="1:6" ht="15" customHeight="1" x14ac:dyDescent="0.25">
      <c r="F13" s="10">
        <v>42091</v>
      </c>
    </row>
    <row r="14" spans="1:6" ht="15" customHeight="1" x14ac:dyDescent="0.25">
      <c r="A14" s="2">
        <v>1</v>
      </c>
      <c r="B14" s="80" t="s">
        <v>3886</v>
      </c>
      <c r="F14" s="10">
        <v>42098</v>
      </c>
    </row>
    <row r="15" spans="1:6" ht="15" customHeight="1" x14ac:dyDescent="0.25">
      <c r="A15" s="2"/>
      <c r="B15" s="80"/>
      <c r="C15" t="s">
        <v>3885</v>
      </c>
      <c r="F15" s="10">
        <v>42105</v>
      </c>
    </row>
    <row r="16" spans="1:6" ht="15" customHeight="1" x14ac:dyDescent="0.25">
      <c r="A16" s="2"/>
      <c r="B16" s="80"/>
      <c r="F16" s="10">
        <v>42112</v>
      </c>
    </row>
    <row r="17" spans="1:6" ht="15" customHeight="1" x14ac:dyDescent="0.25">
      <c r="A17" s="2"/>
      <c r="F17" s="10">
        <v>42119</v>
      </c>
    </row>
    <row r="18" spans="1:6" ht="15" customHeight="1" x14ac:dyDescent="0.25">
      <c r="A18" s="2">
        <v>2</v>
      </c>
      <c r="B18" s="68" t="s">
        <v>3907</v>
      </c>
      <c r="F18" s="10">
        <v>42126</v>
      </c>
    </row>
    <row r="19" spans="1:6" ht="15" customHeight="1" x14ac:dyDescent="0.25">
      <c r="A19" s="2"/>
      <c r="B19" s="68"/>
      <c r="C19" t="s">
        <v>3885</v>
      </c>
      <c r="F19" s="10">
        <v>42133</v>
      </c>
    </row>
    <row r="20" spans="1:6" ht="15" customHeight="1" x14ac:dyDescent="0.25">
      <c r="A20" s="2"/>
      <c r="B20" s="68"/>
      <c r="F20" s="10">
        <v>42140</v>
      </c>
    </row>
    <row r="21" spans="1:6" ht="15" customHeight="1" x14ac:dyDescent="0.25">
      <c r="A21" s="2"/>
      <c r="F21" s="10">
        <v>42147</v>
      </c>
    </row>
    <row r="22" spans="1:6" ht="15" customHeight="1" x14ac:dyDescent="0.25">
      <c r="A22" s="2">
        <v>3</v>
      </c>
      <c r="B22" s="68" t="s">
        <v>3887</v>
      </c>
      <c r="F22" s="10">
        <v>42154</v>
      </c>
    </row>
    <row r="23" spans="1:6" ht="15" customHeight="1" x14ac:dyDescent="0.25">
      <c r="B23" s="68"/>
      <c r="C23" t="s">
        <v>3885</v>
      </c>
      <c r="F23" s="10">
        <v>42161</v>
      </c>
    </row>
    <row r="24" spans="1:6" ht="15" customHeight="1" x14ac:dyDescent="0.25">
      <c r="B24" s="68"/>
      <c r="F24" s="10">
        <v>42168</v>
      </c>
    </row>
    <row r="25" spans="1:6" ht="15" customHeight="1" x14ac:dyDescent="0.25">
      <c r="F25" s="10">
        <v>42175</v>
      </c>
    </row>
    <row r="26" spans="1:6" ht="15" customHeight="1" x14ac:dyDescent="0.25">
      <c r="F26" s="10">
        <v>42182</v>
      </c>
    </row>
    <row r="27" spans="1:6" ht="15" customHeight="1" x14ac:dyDescent="0.25">
      <c r="F27" s="10">
        <v>42189</v>
      </c>
    </row>
    <row r="28" spans="1:6" ht="15" customHeight="1" x14ac:dyDescent="0.25">
      <c r="F28" s="10">
        <v>42196</v>
      </c>
    </row>
    <row r="29" spans="1:6" ht="15" customHeight="1" x14ac:dyDescent="0.25">
      <c r="F29" s="10">
        <v>42203</v>
      </c>
    </row>
    <row r="30" spans="1:6" ht="15" customHeight="1" x14ac:dyDescent="0.25">
      <c r="F30" s="10">
        <v>42210</v>
      </c>
    </row>
    <row r="31" spans="1:6" ht="15" customHeight="1" x14ac:dyDescent="0.25">
      <c r="F31" s="10">
        <v>42217</v>
      </c>
    </row>
    <row r="32" spans="1:6" ht="15" customHeight="1" x14ac:dyDescent="0.25">
      <c r="F32" s="10">
        <v>42224</v>
      </c>
    </row>
    <row r="33" spans="6:6" ht="15" customHeight="1" x14ac:dyDescent="0.25">
      <c r="F33" s="10">
        <v>42231</v>
      </c>
    </row>
    <row r="34" spans="6:6" ht="15" customHeight="1" x14ac:dyDescent="0.25">
      <c r="F34" s="10">
        <v>42238</v>
      </c>
    </row>
    <row r="35" spans="6:6" ht="15" customHeight="1" x14ac:dyDescent="0.25">
      <c r="F35" s="10">
        <v>42245</v>
      </c>
    </row>
    <row r="36" spans="6:6" ht="15" customHeight="1" x14ac:dyDescent="0.25">
      <c r="F36" s="10">
        <v>42252</v>
      </c>
    </row>
    <row r="37" spans="6:6" ht="15" customHeight="1" x14ac:dyDescent="0.25">
      <c r="F37" s="10">
        <v>42259</v>
      </c>
    </row>
    <row r="38" spans="6:6" ht="15" customHeight="1" x14ac:dyDescent="0.25">
      <c r="F38" s="10">
        <v>42266</v>
      </c>
    </row>
    <row r="39" spans="6:6" ht="15" customHeight="1" x14ac:dyDescent="0.25">
      <c r="F39" s="10">
        <v>42273</v>
      </c>
    </row>
    <row r="40" spans="6:6" ht="15" customHeight="1" x14ac:dyDescent="0.25">
      <c r="F40" s="10">
        <v>42280</v>
      </c>
    </row>
    <row r="41" spans="6:6" ht="15" customHeight="1" x14ac:dyDescent="0.25">
      <c r="F41" s="10">
        <v>42287</v>
      </c>
    </row>
    <row r="42" spans="6:6" ht="15" customHeight="1" x14ac:dyDescent="0.25">
      <c r="F42" s="10">
        <v>42294</v>
      </c>
    </row>
    <row r="43" spans="6:6" ht="15" customHeight="1" x14ac:dyDescent="0.25">
      <c r="F43" s="10">
        <v>42301</v>
      </c>
    </row>
    <row r="44" spans="6:6" ht="15" customHeight="1" x14ac:dyDescent="0.25">
      <c r="F44" s="10">
        <v>42308</v>
      </c>
    </row>
    <row r="45" spans="6:6" ht="15" customHeight="1" x14ac:dyDescent="0.25">
      <c r="F45" s="10">
        <v>42315</v>
      </c>
    </row>
    <row r="46" spans="6:6" ht="15" customHeight="1" x14ac:dyDescent="0.25">
      <c r="F46" s="10">
        <v>42322</v>
      </c>
    </row>
    <row r="47" spans="6:6" ht="15" customHeight="1" x14ac:dyDescent="0.25">
      <c r="F47" s="10">
        <v>42329</v>
      </c>
    </row>
    <row r="48" spans="6:6" ht="15" customHeight="1" x14ac:dyDescent="0.25">
      <c r="F48" s="10">
        <v>42336</v>
      </c>
    </row>
    <row r="49" spans="6:6" ht="15" customHeight="1" x14ac:dyDescent="0.25">
      <c r="F49" s="10">
        <v>42343</v>
      </c>
    </row>
    <row r="50" spans="6:6" ht="15" customHeight="1" x14ac:dyDescent="0.25">
      <c r="F50" s="10">
        <v>42350</v>
      </c>
    </row>
    <row r="51" spans="6:6" ht="15" customHeight="1" x14ac:dyDescent="0.25">
      <c r="F51" s="10">
        <v>42357</v>
      </c>
    </row>
    <row r="52" spans="6:6" ht="15" customHeight="1" x14ac:dyDescent="0.25">
      <c r="F52" s="10"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Q2" sqref="Q2:U6"/>
    </sheetView>
  </sheetViews>
  <sheetFormatPr defaultRowHeight="13.2" x14ac:dyDescent="0.25"/>
  <cols>
    <col min="4" max="4" width="11.44140625" customWidth="1"/>
  </cols>
  <sheetData>
    <row r="1" spans="1:22" x14ac:dyDescent="0.25">
      <c r="A1" s="2" t="s">
        <v>15</v>
      </c>
      <c r="B1" s="2"/>
      <c r="C1" s="2"/>
      <c r="D1" s="2"/>
      <c r="E1" s="2"/>
    </row>
    <row r="2" spans="1:22" ht="13.95" customHeight="1" x14ac:dyDescent="0.25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80" t="s">
        <v>45</v>
      </c>
      <c r="R2" s="80"/>
      <c r="S2" s="80"/>
      <c r="T2" s="80"/>
      <c r="U2" s="80"/>
      <c r="V2" t="s">
        <v>3884</v>
      </c>
    </row>
    <row r="3" spans="1:22" x14ac:dyDescent="0.25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80"/>
      <c r="R3" s="80"/>
      <c r="S3" s="80"/>
      <c r="T3" s="80"/>
      <c r="U3" s="80"/>
    </row>
    <row r="4" spans="1:22" x14ac:dyDescent="0.25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80"/>
      <c r="R4" s="80"/>
      <c r="S4" s="80"/>
      <c r="T4" s="80"/>
      <c r="U4" s="80"/>
    </row>
    <row r="5" spans="1:22" x14ac:dyDescent="0.25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80"/>
      <c r="R5" s="80"/>
      <c r="S5" s="80"/>
      <c r="T5" s="80"/>
      <c r="U5" s="80"/>
    </row>
    <row r="6" spans="1:22" x14ac:dyDescent="0.25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80"/>
      <c r="R6" s="80"/>
      <c r="S6" s="80"/>
      <c r="T6" s="80"/>
      <c r="U6" s="80"/>
    </row>
    <row r="7" spans="1:22" x14ac:dyDescent="0.25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5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5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5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5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5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5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5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5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5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5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5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5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5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5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5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5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5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5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5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E32" sqref="E32"/>
    </sheetView>
  </sheetViews>
  <sheetFormatPr defaultRowHeight="13.2" x14ac:dyDescent="0.25"/>
  <cols>
    <col min="4" max="4" width="10.44140625" customWidth="1"/>
  </cols>
  <sheetData>
    <row r="1" spans="1:23" x14ac:dyDescent="0.25">
      <c r="A1" s="2" t="s">
        <v>13</v>
      </c>
      <c r="B1" s="2"/>
      <c r="C1" s="2"/>
      <c r="D1" s="2"/>
      <c r="E1" s="2"/>
    </row>
    <row r="2" spans="1:23" x14ac:dyDescent="0.25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5" customHeight="1" x14ac:dyDescent="0.25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8" t="s">
        <v>46</v>
      </c>
      <c r="U3" s="68"/>
      <c r="V3" s="68"/>
      <c r="W3" t="s">
        <v>3885</v>
      </c>
    </row>
    <row r="4" spans="1:23" x14ac:dyDescent="0.25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8"/>
      <c r="U4" s="68"/>
      <c r="V4" s="68"/>
    </row>
    <row r="5" spans="1:23" x14ac:dyDescent="0.25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8"/>
      <c r="U5" s="68"/>
      <c r="V5" s="68"/>
    </row>
    <row r="6" spans="1:23" x14ac:dyDescent="0.25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8"/>
      <c r="U6" s="68"/>
      <c r="V6" s="68"/>
    </row>
    <row r="7" spans="1:23" x14ac:dyDescent="0.25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5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5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5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5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5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5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5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5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5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5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5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5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5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5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5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5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5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5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5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K2" sqref="K2"/>
    </sheetView>
  </sheetViews>
  <sheetFormatPr defaultColWidth="9.109375" defaultRowHeight="15" customHeight="1" x14ac:dyDescent="0.25"/>
  <cols>
    <col min="1" max="1" width="24.33203125" style="1" customWidth="1"/>
    <col min="2" max="2" width="24.44140625" style="1" customWidth="1"/>
    <col min="3" max="3" width="20.6640625" style="1" customWidth="1"/>
    <col min="4" max="4" width="11.33203125" style="1" customWidth="1"/>
    <col min="5" max="5" width="14.109375" style="1" customWidth="1"/>
    <col min="6" max="6" width="14.5546875" style="1" customWidth="1"/>
    <col min="7" max="7" width="16" style="1" customWidth="1"/>
    <col min="8" max="8" width="14" style="1" customWidth="1"/>
    <col min="9" max="9" width="12.33203125" style="1" customWidth="1"/>
    <col min="10" max="10" width="14" style="1" customWidth="1"/>
    <col min="11" max="11" width="10.44140625" style="1" customWidth="1"/>
    <col min="12" max="12" width="5" style="1" customWidth="1"/>
    <col min="13" max="16384" width="9.109375" style="1"/>
  </cols>
  <sheetData>
    <row r="1" spans="1:19" ht="15" customHeight="1" x14ac:dyDescent="0.25">
      <c r="A1" s="71" t="s">
        <v>22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9" s="3" customFormat="1" ht="15" customHeight="1" x14ac:dyDescent="0.25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60" t="s">
        <v>16</v>
      </c>
      <c r="M2" s="54"/>
      <c r="N2" s="54"/>
      <c r="O2" s="54"/>
      <c r="P2" s="54"/>
      <c r="Q2" s="54"/>
      <c r="R2" s="54"/>
    </row>
    <row r="3" spans="1:19" ht="15" customHeight="1" x14ac:dyDescent="0.25">
      <c r="A3" s="1">
        <v>89</v>
      </c>
      <c r="B3" s="14">
        <f>(180-A3)/2</f>
        <v>45.5</v>
      </c>
      <c r="C3" s="61">
        <f>SQRT((G3/2)*((G3/2)-D3)*((G3/2)-E3)*((G3/2)-F3))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SUM(D3,F3,E3)</f>
        <v>26.693900138398185</v>
      </c>
      <c r="H3" s="14">
        <f>(2*C3)/D3</f>
        <v>5.5968406613466888</v>
      </c>
      <c r="I3" s="14" t="str">
        <f>IF(A3&gt;90,"PLATLEŅĶA","CITS")</f>
        <v>CITS</v>
      </c>
      <c r="J3" s="14">
        <f>COUNT(A3:A70)</f>
        <v>68</v>
      </c>
      <c r="K3" s="14">
        <f>MAX(A3:A70)</f>
        <v>130</v>
      </c>
    </row>
    <row r="4" spans="1:19" ht="15" customHeight="1" x14ac:dyDescent="0.25">
      <c r="A4" s="1">
        <v>124</v>
      </c>
      <c r="B4" s="14">
        <f t="shared" ref="B4:B67" si="0">(180-A4)/2</f>
        <v>28</v>
      </c>
      <c r="C4" s="61">
        <f t="shared" ref="C4:C67" si="1">SQRT((G4/2)*((G4/2)-D4)*((G4/2)-E4)*((G4/2)-F4))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SUM(D4,F4,E4)</f>
        <v>23.458270557579432</v>
      </c>
      <c r="H4" s="14">
        <f t="shared" ref="H4:H67" si="3">(2*C4)/D4</f>
        <v>2.9244018741381343</v>
      </c>
      <c r="I4" s="14" t="str">
        <f t="shared" ref="I4:I67" si="4">IF(A4&gt;90,"PLATLEŅĶA","CITS")</f>
        <v>PLATLEŅĶA</v>
      </c>
      <c r="L4" s="42">
        <v>7</v>
      </c>
      <c r="M4" s="68" t="s">
        <v>47</v>
      </c>
      <c r="N4" s="68"/>
      <c r="O4" s="68"/>
      <c r="P4" s="68"/>
      <c r="Q4" s="68"/>
      <c r="R4" s="68"/>
      <c r="S4" s="1" t="s">
        <v>3885</v>
      </c>
    </row>
    <row r="5" spans="1:19" ht="15" customHeight="1" x14ac:dyDescent="0.25">
      <c r="A5" s="1">
        <v>39</v>
      </c>
      <c r="B5" s="14">
        <f t="shared" si="0"/>
        <v>70.5</v>
      </c>
      <c r="C5" s="61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4">
        <f t="shared" si="3"/>
        <v>16.943477313604806</v>
      </c>
      <c r="I5" s="14" t="str">
        <f t="shared" si="4"/>
        <v>CITS</v>
      </c>
      <c r="L5" s="42"/>
      <c r="M5" s="68"/>
      <c r="N5" s="68"/>
      <c r="O5" s="68"/>
      <c r="P5" s="68"/>
      <c r="Q5" s="68"/>
      <c r="R5" s="68"/>
    </row>
    <row r="6" spans="1:19" ht="15" customHeight="1" x14ac:dyDescent="0.25">
      <c r="A6" s="1">
        <v>99</v>
      </c>
      <c r="B6" s="14">
        <f t="shared" si="0"/>
        <v>40.5</v>
      </c>
      <c r="C6" s="61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4">
        <f t="shared" si="3"/>
        <v>7.2596858264394708</v>
      </c>
      <c r="I6" s="14" t="str">
        <f t="shared" si="4"/>
        <v>PLATLEŅĶA</v>
      </c>
      <c r="L6" s="42"/>
    </row>
    <row r="7" spans="1:19" ht="15" customHeight="1" x14ac:dyDescent="0.25">
      <c r="A7" s="1">
        <v>38</v>
      </c>
      <c r="B7" s="14">
        <f t="shared" si="0"/>
        <v>71</v>
      </c>
      <c r="C7" s="61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4">
        <f t="shared" si="3"/>
        <v>37.754741409785694</v>
      </c>
      <c r="I7" s="14" t="str">
        <f t="shared" si="4"/>
        <v>CITS</v>
      </c>
      <c r="L7" s="42">
        <v>8</v>
      </c>
      <c r="M7" s="44" t="s">
        <v>48</v>
      </c>
      <c r="N7" s="44"/>
      <c r="O7" s="44"/>
      <c r="P7" s="44"/>
      <c r="Q7" s="44"/>
      <c r="R7" s="44"/>
      <c r="S7" s="1" t="s">
        <v>3885</v>
      </c>
    </row>
    <row r="8" spans="1:19" ht="15" customHeight="1" x14ac:dyDescent="0.25">
      <c r="A8" s="1">
        <v>100</v>
      </c>
      <c r="B8" s="14">
        <f t="shared" si="0"/>
        <v>40</v>
      </c>
      <c r="C8" s="61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4">
        <f t="shared" si="3"/>
        <v>12.166944652070562</v>
      </c>
      <c r="I8" s="14" t="str">
        <f t="shared" si="4"/>
        <v>PLATLEŅĶA</v>
      </c>
      <c r="L8" s="42"/>
    </row>
    <row r="9" spans="1:19" ht="15" customHeight="1" x14ac:dyDescent="0.25">
      <c r="A9" s="1">
        <v>54</v>
      </c>
      <c r="B9" s="14">
        <f t="shared" si="0"/>
        <v>63</v>
      </c>
      <c r="C9" s="61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4">
        <f t="shared" si="3"/>
        <v>30.420462835329836</v>
      </c>
      <c r="I9" s="14" t="str">
        <f t="shared" si="4"/>
        <v>CITS</v>
      </c>
      <c r="L9" s="42">
        <v>9</v>
      </c>
      <c r="M9" s="68" t="s">
        <v>49</v>
      </c>
      <c r="N9" s="68"/>
      <c r="O9" s="68"/>
      <c r="P9" s="68"/>
      <c r="Q9" s="68"/>
      <c r="R9" s="68"/>
      <c r="S9" s="1" t="s">
        <v>3885</v>
      </c>
    </row>
    <row r="10" spans="1:19" ht="15" customHeight="1" x14ac:dyDescent="0.25">
      <c r="A10" s="1">
        <v>26</v>
      </c>
      <c r="B10" s="14">
        <f t="shared" si="0"/>
        <v>77</v>
      </c>
      <c r="C10" s="61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4">
        <f t="shared" si="3"/>
        <v>71.469351925688571</v>
      </c>
      <c r="I10" s="14" t="str">
        <f t="shared" si="4"/>
        <v>CITS</v>
      </c>
      <c r="L10" s="42"/>
      <c r="M10" s="68"/>
      <c r="N10" s="68"/>
      <c r="O10" s="68"/>
      <c r="P10" s="68"/>
      <c r="Q10" s="68"/>
      <c r="R10" s="68"/>
    </row>
    <row r="11" spans="1:19" ht="15" customHeight="1" x14ac:dyDescent="0.25">
      <c r="A11" s="1">
        <v>126</v>
      </c>
      <c r="B11" s="14">
        <f t="shared" si="0"/>
        <v>27</v>
      </c>
      <c r="C11" s="61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4">
        <f t="shared" si="3"/>
        <v>9.4262208156469445</v>
      </c>
      <c r="I11" s="14" t="str">
        <f t="shared" si="4"/>
        <v>PLATLEŅĶA</v>
      </c>
      <c r="L11" s="42"/>
      <c r="M11" s="68"/>
      <c r="N11" s="68"/>
      <c r="O11" s="68"/>
      <c r="P11" s="68"/>
      <c r="Q11" s="68"/>
      <c r="R11" s="68"/>
    </row>
    <row r="12" spans="1:19" ht="15" customHeight="1" x14ac:dyDescent="0.25">
      <c r="A12" s="1">
        <v>89</v>
      </c>
      <c r="B12" s="14">
        <f t="shared" si="0"/>
        <v>45.5</v>
      </c>
      <c r="C12" s="61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4">
        <f t="shared" si="3"/>
        <v>20.352147859442518</v>
      </c>
      <c r="I12" s="14" t="str">
        <f t="shared" si="4"/>
        <v>CITS</v>
      </c>
    </row>
    <row r="13" spans="1:19" ht="15" customHeight="1" x14ac:dyDescent="0.25">
      <c r="A13" s="1">
        <v>37</v>
      </c>
      <c r="B13" s="14">
        <f t="shared" si="0"/>
        <v>71.5</v>
      </c>
      <c r="C13" s="61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4">
        <f t="shared" si="3"/>
        <v>61.268041736229307</v>
      </c>
      <c r="I13" s="14" t="str">
        <f t="shared" si="4"/>
        <v>CITS</v>
      </c>
      <c r="L13" s="42">
        <v>10</v>
      </c>
      <c r="M13" s="68" t="s">
        <v>50</v>
      </c>
      <c r="N13" s="68"/>
      <c r="O13" s="68"/>
      <c r="P13" s="68"/>
      <c r="Q13" s="68"/>
      <c r="R13" s="68"/>
      <c r="S13" s="1" t="s">
        <v>3885</v>
      </c>
    </row>
    <row r="14" spans="1:19" ht="15" customHeight="1" x14ac:dyDescent="0.25">
      <c r="A14" s="1">
        <v>38</v>
      </c>
      <c r="B14" s="14">
        <f t="shared" si="0"/>
        <v>71</v>
      </c>
      <c r="C14" s="61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4">
        <f t="shared" si="3"/>
        <v>59.536322992354364</v>
      </c>
      <c r="I14" s="14" t="str">
        <f t="shared" si="4"/>
        <v>CITS</v>
      </c>
      <c r="L14" s="42"/>
      <c r="M14" s="68"/>
      <c r="N14" s="68"/>
      <c r="O14" s="68"/>
      <c r="P14" s="68"/>
      <c r="Q14" s="68"/>
      <c r="R14" s="68"/>
    </row>
    <row r="15" spans="1:19" ht="15" customHeight="1" x14ac:dyDescent="0.25">
      <c r="A15" s="1">
        <v>14</v>
      </c>
      <c r="B15" s="14">
        <f t="shared" si="0"/>
        <v>83</v>
      </c>
      <c r="C15" s="61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4">
        <f t="shared" si="3"/>
        <v>175.1034482014538</v>
      </c>
      <c r="I15" s="14" t="str">
        <f t="shared" si="4"/>
        <v>CITS</v>
      </c>
      <c r="L15" s="42"/>
      <c r="M15" s="68"/>
      <c r="N15" s="68"/>
      <c r="O15" s="68"/>
      <c r="P15" s="68"/>
      <c r="Q15" s="68"/>
      <c r="R15" s="68"/>
    </row>
    <row r="16" spans="1:19" ht="15" customHeight="1" x14ac:dyDescent="0.25">
      <c r="A16" s="1">
        <v>75</v>
      </c>
      <c r="B16" s="14">
        <f t="shared" si="0"/>
        <v>52.5</v>
      </c>
      <c r="C16" s="61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4">
        <f t="shared" si="3"/>
        <v>28.019345516085924</v>
      </c>
      <c r="I16" s="14" t="str">
        <f t="shared" si="4"/>
        <v>CITS</v>
      </c>
    </row>
    <row r="17" spans="1:19" ht="15" customHeight="1" x14ac:dyDescent="0.25">
      <c r="A17" s="1">
        <v>67</v>
      </c>
      <c r="B17" s="14">
        <f t="shared" si="0"/>
        <v>56.5</v>
      </c>
      <c r="C17" s="61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4">
        <f t="shared" si="3"/>
        <v>32.482956662720376</v>
      </c>
      <c r="I17" s="14" t="str">
        <f t="shared" si="4"/>
        <v>CITS</v>
      </c>
      <c r="L17" s="42">
        <v>11</v>
      </c>
      <c r="M17" s="68" t="s">
        <v>51</v>
      </c>
      <c r="N17" s="68"/>
      <c r="O17" s="68"/>
      <c r="P17" s="68"/>
      <c r="Q17" s="68"/>
      <c r="R17" s="68"/>
      <c r="S17" s="1" t="s">
        <v>3885</v>
      </c>
    </row>
    <row r="18" spans="1:19" ht="15" customHeight="1" x14ac:dyDescent="0.25">
      <c r="A18" s="1">
        <v>114</v>
      </c>
      <c r="B18" s="14">
        <f t="shared" si="0"/>
        <v>33</v>
      </c>
      <c r="C18" s="61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4">
        <f t="shared" si="3"/>
        <v>14.611670846943998</v>
      </c>
      <c r="I18" s="14" t="str">
        <f t="shared" si="4"/>
        <v>PLATLEŅĶA</v>
      </c>
      <c r="M18" s="68"/>
      <c r="N18" s="68"/>
      <c r="O18" s="68"/>
      <c r="P18" s="68"/>
      <c r="Q18" s="68"/>
      <c r="R18" s="68"/>
    </row>
    <row r="19" spans="1:19" ht="15" customHeight="1" x14ac:dyDescent="0.25">
      <c r="A19" s="1">
        <v>124</v>
      </c>
      <c r="B19" s="14">
        <f t="shared" si="0"/>
        <v>28</v>
      </c>
      <c r="C19" s="61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4">
        <f t="shared" si="3"/>
        <v>11.963462212383297</v>
      </c>
      <c r="I19" s="14" t="str">
        <f t="shared" si="4"/>
        <v>PLATLEŅĶA</v>
      </c>
      <c r="M19" s="68"/>
      <c r="N19" s="68"/>
      <c r="O19" s="68"/>
      <c r="P19" s="68"/>
      <c r="Q19" s="68"/>
      <c r="R19" s="68"/>
    </row>
    <row r="20" spans="1:19" ht="15" customHeight="1" x14ac:dyDescent="0.25">
      <c r="A20" s="1">
        <v>57</v>
      </c>
      <c r="B20" s="14">
        <f t="shared" si="0"/>
        <v>61.5</v>
      </c>
      <c r="C20" s="61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4">
        <f t="shared" si="3"/>
        <v>42.360730378769539</v>
      </c>
      <c r="I20" s="14" t="str">
        <f t="shared" si="4"/>
        <v>CITS</v>
      </c>
    </row>
    <row r="21" spans="1:19" ht="15" customHeight="1" x14ac:dyDescent="0.25">
      <c r="A21" s="1">
        <v>90</v>
      </c>
      <c r="B21" s="14">
        <f t="shared" si="0"/>
        <v>45</v>
      </c>
      <c r="C21" s="61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4">
        <f t="shared" si="3"/>
        <v>23.500000000000025</v>
      </c>
      <c r="I21" s="14" t="str">
        <f t="shared" si="4"/>
        <v>CITS</v>
      </c>
      <c r="L21" s="42">
        <v>12</v>
      </c>
      <c r="M21" s="80" t="s">
        <v>3910</v>
      </c>
      <c r="N21" s="80"/>
      <c r="O21" s="80"/>
      <c r="P21" s="80"/>
      <c r="Q21" s="80"/>
      <c r="R21" s="80"/>
      <c r="S21" s="1" t="s">
        <v>3884</v>
      </c>
    </row>
    <row r="22" spans="1:19" ht="15" customHeight="1" x14ac:dyDescent="0.25">
      <c r="A22" s="1">
        <v>45</v>
      </c>
      <c r="B22" s="14">
        <f t="shared" si="0"/>
        <v>67.5</v>
      </c>
      <c r="C22" s="61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4">
        <f t="shared" si="3"/>
        <v>56.734018715767732</v>
      </c>
      <c r="I22" s="14" t="str">
        <f t="shared" si="4"/>
        <v>CITS</v>
      </c>
      <c r="M22" s="80"/>
      <c r="N22" s="80"/>
      <c r="O22" s="80"/>
      <c r="P22" s="80"/>
      <c r="Q22" s="80"/>
      <c r="R22" s="80"/>
    </row>
    <row r="23" spans="1:19" ht="15" customHeight="1" x14ac:dyDescent="0.25">
      <c r="A23" s="1">
        <v>85</v>
      </c>
      <c r="B23" s="14">
        <f t="shared" si="0"/>
        <v>47.5</v>
      </c>
      <c r="C23" s="61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4">
        <f t="shared" si="3"/>
        <v>31.647946531008884</v>
      </c>
      <c r="I23" s="14" t="str">
        <f t="shared" si="4"/>
        <v>CITS</v>
      </c>
      <c r="M23" s="80"/>
      <c r="N23" s="80"/>
      <c r="O23" s="80"/>
      <c r="P23" s="80"/>
      <c r="Q23" s="80"/>
      <c r="R23" s="80"/>
    </row>
    <row r="24" spans="1:19" ht="15" customHeight="1" x14ac:dyDescent="0.25">
      <c r="A24" s="1">
        <v>42</v>
      </c>
      <c r="B24" s="14">
        <f t="shared" si="0"/>
        <v>69</v>
      </c>
      <c r="C24" s="61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4">
        <f t="shared" si="3"/>
        <v>75.547582876120302</v>
      </c>
      <c r="I24" s="14" t="str">
        <f t="shared" si="4"/>
        <v>CITS</v>
      </c>
    </row>
    <row r="25" spans="1:19" ht="15" customHeight="1" x14ac:dyDescent="0.25">
      <c r="A25" s="1">
        <v>92</v>
      </c>
      <c r="B25" s="14">
        <f t="shared" si="0"/>
        <v>44</v>
      </c>
      <c r="C25" s="61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4">
        <f t="shared" si="3"/>
        <v>28.970663244212226</v>
      </c>
      <c r="I25" s="14" t="str">
        <f t="shared" si="4"/>
        <v>PLATLEŅĶA</v>
      </c>
      <c r="L25" s="42">
        <v>13</v>
      </c>
      <c r="M25" s="68" t="s">
        <v>3889</v>
      </c>
      <c r="N25" s="68"/>
      <c r="O25" s="68"/>
      <c r="P25" s="68"/>
      <c r="Q25" s="68"/>
      <c r="R25" s="68"/>
      <c r="S25" s="1" t="s">
        <v>3885</v>
      </c>
    </row>
    <row r="26" spans="1:19" ht="15" customHeight="1" x14ac:dyDescent="0.25">
      <c r="A26" s="1">
        <v>103</v>
      </c>
      <c r="B26" s="14">
        <f t="shared" si="0"/>
        <v>38.5</v>
      </c>
      <c r="C26" s="61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4">
        <f t="shared" si="3"/>
        <v>24.260795458368765</v>
      </c>
      <c r="I26" s="14" t="str">
        <f t="shared" si="4"/>
        <v>PLATLEŅĶA</v>
      </c>
      <c r="L26" s="42"/>
      <c r="M26" s="68"/>
      <c r="N26" s="68"/>
      <c r="O26" s="68"/>
      <c r="P26" s="68"/>
      <c r="Q26" s="68"/>
      <c r="R26" s="68"/>
    </row>
    <row r="27" spans="1:19" ht="15" customHeight="1" x14ac:dyDescent="0.25">
      <c r="A27" s="1">
        <v>62</v>
      </c>
      <c r="B27" s="14">
        <f t="shared" si="0"/>
        <v>59</v>
      </c>
      <c r="C27" s="61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4">
        <f t="shared" si="3"/>
        <v>51.592663952866083</v>
      </c>
      <c r="I27" s="14" t="str">
        <f t="shared" si="4"/>
        <v>CITS</v>
      </c>
      <c r="L27" s="42"/>
      <c r="M27" s="68"/>
      <c r="N27" s="68"/>
      <c r="O27" s="68"/>
      <c r="P27" s="68"/>
      <c r="Q27" s="68"/>
      <c r="R27" s="68"/>
    </row>
    <row r="28" spans="1:19" ht="15" customHeight="1" x14ac:dyDescent="0.25">
      <c r="A28" s="1">
        <v>109</v>
      </c>
      <c r="B28" s="14">
        <f t="shared" si="0"/>
        <v>35.5</v>
      </c>
      <c r="C28" s="61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4">
        <f t="shared" si="3"/>
        <v>23.182024706652676</v>
      </c>
      <c r="I28" s="14" t="str">
        <f t="shared" si="4"/>
        <v>PLATLEŅĶA</v>
      </c>
    </row>
    <row r="29" spans="1:19" ht="15" customHeight="1" x14ac:dyDescent="0.25">
      <c r="A29" s="1">
        <v>96</v>
      </c>
      <c r="B29" s="14">
        <f t="shared" si="0"/>
        <v>42</v>
      </c>
      <c r="C29" s="61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4">
        <f t="shared" si="3"/>
        <v>29.713333461828714</v>
      </c>
      <c r="I29" s="14" t="str">
        <f t="shared" si="4"/>
        <v>PLATLEŅĶA</v>
      </c>
      <c r="L29" s="42">
        <v>14</v>
      </c>
      <c r="M29" s="69" t="s">
        <v>52</v>
      </c>
      <c r="N29" s="69"/>
      <c r="O29" s="69"/>
      <c r="P29" s="69"/>
      <c r="Q29" s="69"/>
      <c r="R29" s="69"/>
      <c r="S29" s="1" t="s">
        <v>3885</v>
      </c>
    </row>
    <row r="30" spans="1:19" ht="15" customHeight="1" x14ac:dyDescent="0.25">
      <c r="A30" s="1">
        <v>118</v>
      </c>
      <c r="B30" s="14">
        <f t="shared" si="0"/>
        <v>31</v>
      </c>
      <c r="C30" s="61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4">
        <f t="shared" si="3"/>
        <v>20.128830737423272</v>
      </c>
      <c r="I30" s="14" t="str">
        <f t="shared" si="4"/>
        <v>PLATLEŅĶA</v>
      </c>
      <c r="L30" s="42"/>
      <c r="M30" s="69"/>
      <c r="N30" s="69"/>
      <c r="O30" s="69"/>
      <c r="P30" s="69"/>
      <c r="Q30" s="69"/>
      <c r="R30" s="69"/>
    </row>
    <row r="31" spans="1:19" ht="15" customHeight="1" x14ac:dyDescent="0.25">
      <c r="A31" s="1">
        <v>96</v>
      </c>
      <c r="B31" s="14">
        <f t="shared" si="0"/>
        <v>42</v>
      </c>
      <c r="C31" s="61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4">
        <f t="shared" si="3"/>
        <v>43.669596148445258</v>
      </c>
      <c r="I31" s="14" t="str">
        <f t="shared" si="4"/>
        <v>PLATLEŅĶA</v>
      </c>
      <c r="L31" s="42"/>
      <c r="M31" s="69"/>
      <c r="N31" s="69"/>
      <c r="O31" s="69"/>
      <c r="P31" s="69"/>
      <c r="Q31" s="69"/>
      <c r="R31" s="69"/>
    </row>
    <row r="32" spans="1:19" ht="15" customHeight="1" x14ac:dyDescent="0.25">
      <c r="A32" s="1">
        <v>14</v>
      </c>
      <c r="B32" s="14">
        <f t="shared" si="0"/>
        <v>83</v>
      </c>
      <c r="C32" s="61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4">
        <f t="shared" si="3"/>
        <v>280.97995176512347</v>
      </c>
      <c r="I32" s="14" t="str">
        <f t="shared" si="4"/>
        <v>CITS</v>
      </c>
      <c r="L32" s="42"/>
      <c r="M32" s="69"/>
      <c r="N32" s="69"/>
      <c r="O32" s="69"/>
      <c r="P32" s="69"/>
      <c r="Q32" s="69"/>
      <c r="R32" s="69"/>
    </row>
    <row r="33" spans="1:19" ht="15" customHeight="1" x14ac:dyDescent="0.25">
      <c r="A33" s="1">
        <v>102</v>
      </c>
      <c r="B33" s="14">
        <f t="shared" si="0"/>
        <v>39</v>
      </c>
      <c r="C33" s="61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4">
        <f t="shared" si="3"/>
        <v>28.747333178422732</v>
      </c>
      <c r="I33" s="14" t="str">
        <f t="shared" si="4"/>
        <v>PLATLEŅĶA</v>
      </c>
    </row>
    <row r="34" spans="1:19" ht="15" customHeight="1" x14ac:dyDescent="0.25">
      <c r="A34" s="1">
        <v>102</v>
      </c>
      <c r="B34" s="14">
        <f t="shared" si="0"/>
        <v>39</v>
      </c>
      <c r="C34" s="61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4">
        <f t="shared" si="3"/>
        <v>28.747333178422732</v>
      </c>
      <c r="I34" s="14" t="str">
        <f t="shared" si="4"/>
        <v>PLATLEŅĶA</v>
      </c>
      <c r="L34" s="42">
        <v>15</v>
      </c>
      <c r="M34" s="70" t="s">
        <v>53</v>
      </c>
      <c r="N34" s="70"/>
      <c r="O34" s="70"/>
      <c r="P34" s="70"/>
      <c r="Q34" s="70"/>
      <c r="R34" s="70"/>
      <c r="S34" s="1" t="s">
        <v>3885</v>
      </c>
    </row>
    <row r="35" spans="1:19" ht="15" customHeight="1" x14ac:dyDescent="0.25">
      <c r="A35" s="1">
        <v>62</v>
      </c>
      <c r="B35" s="14">
        <f t="shared" si="0"/>
        <v>59</v>
      </c>
      <c r="C35" s="61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4">
        <f t="shared" si="3"/>
        <v>61.578340846969169</v>
      </c>
      <c r="I35" s="14" t="str">
        <f t="shared" si="4"/>
        <v>CITS</v>
      </c>
      <c r="M35" s="70"/>
      <c r="N35" s="70"/>
      <c r="O35" s="70"/>
      <c r="P35" s="70"/>
      <c r="Q35" s="70"/>
      <c r="R35" s="70"/>
    </row>
    <row r="36" spans="1:19" ht="15" customHeight="1" x14ac:dyDescent="0.25">
      <c r="A36" s="1">
        <v>50</v>
      </c>
      <c r="B36" s="14">
        <f t="shared" si="0"/>
        <v>65</v>
      </c>
      <c r="C36" s="61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4">
        <f t="shared" si="3"/>
        <v>79.346756058853671</v>
      </c>
      <c r="I36" s="14" t="str">
        <f t="shared" si="4"/>
        <v>CITS</v>
      </c>
      <c r="M36" s="70"/>
      <c r="N36" s="70"/>
      <c r="O36" s="70"/>
      <c r="P36" s="70"/>
      <c r="Q36" s="70"/>
      <c r="R36" s="70"/>
    </row>
    <row r="37" spans="1:19" ht="15" customHeight="1" x14ac:dyDescent="0.25">
      <c r="A37" s="1">
        <v>128</v>
      </c>
      <c r="B37" s="14">
        <f t="shared" si="0"/>
        <v>26</v>
      </c>
      <c r="C37" s="61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4">
        <f t="shared" si="3"/>
        <v>18.777704659785662</v>
      </c>
      <c r="I37" s="14" t="str">
        <f t="shared" si="4"/>
        <v>PLATLEŅĶA</v>
      </c>
      <c r="M37" s="70"/>
      <c r="N37" s="70"/>
      <c r="O37" s="70"/>
      <c r="P37" s="70"/>
      <c r="Q37" s="70"/>
      <c r="R37" s="70"/>
    </row>
    <row r="38" spans="1:19" ht="15" customHeight="1" x14ac:dyDescent="0.25">
      <c r="A38" s="1">
        <v>16</v>
      </c>
      <c r="B38" s="14">
        <f t="shared" si="0"/>
        <v>82</v>
      </c>
      <c r="C38" s="61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4">
        <f t="shared" si="3"/>
        <v>277.49941917298423</v>
      </c>
      <c r="I38" s="14" t="str">
        <f t="shared" si="4"/>
        <v>CITS</v>
      </c>
    </row>
    <row r="39" spans="1:19" ht="15" customHeight="1" x14ac:dyDescent="0.25">
      <c r="A39" s="1">
        <v>11</v>
      </c>
      <c r="B39" s="14">
        <f t="shared" si="0"/>
        <v>84.5</v>
      </c>
      <c r="C39" s="61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4">
        <f t="shared" si="3"/>
        <v>405.03048612538817</v>
      </c>
      <c r="I39" s="14" t="str">
        <f t="shared" si="4"/>
        <v>CITS</v>
      </c>
      <c r="M39" s="57"/>
      <c r="N39" s="57"/>
      <c r="O39" s="57"/>
      <c r="P39" s="57"/>
      <c r="Q39" s="57"/>
      <c r="R39" s="57"/>
    </row>
    <row r="40" spans="1:19" ht="15" customHeight="1" x14ac:dyDescent="0.25">
      <c r="A40" s="1">
        <v>60</v>
      </c>
      <c r="B40" s="14">
        <f t="shared" si="0"/>
        <v>60</v>
      </c>
      <c r="C40" s="61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4">
        <f t="shared" si="3"/>
        <v>71.014083110323938</v>
      </c>
      <c r="I40" s="14" t="str">
        <f t="shared" si="4"/>
        <v>CITS</v>
      </c>
      <c r="M40" s="57"/>
      <c r="N40" s="57"/>
      <c r="O40" s="57"/>
      <c r="P40" s="57"/>
      <c r="Q40" s="57"/>
      <c r="R40" s="57"/>
    </row>
    <row r="41" spans="1:19" ht="15" customHeight="1" x14ac:dyDescent="0.25">
      <c r="A41" s="1">
        <v>29</v>
      </c>
      <c r="B41" s="14">
        <f t="shared" si="0"/>
        <v>75.5</v>
      </c>
      <c r="C41" s="61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4">
        <f t="shared" si="3"/>
        <v>166.26866308064575</v>
      </c>
      <c r="I41" s="14" t="str">
        <f t="shared" si="4"/>
        <v>CITS</v>
      </c>
    </row>
    <row r="42" spans="1:19" ht="15" customHeight="1" x14ac:dyDescent="0.25">
      <c r="A42" s="1">
        <v>25</v>
      </c>
      <c r="B42" s="14">
        <f t="shared" si="0"/>
        <v>77.5</v>
      </c>
      <c r="C42" s="61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4">
        <f t="shared" si="3"/>
        <v>198.47117416113068</v>
      </c>
      <c r="I42" s="14" t="str">
        <f t="shared" si="4"/>
        <v>CITS</v>
      </c>
    </row>
    <row r="43" spans="1:19" ht="15" customHeight="1" x14ac:dyDescent="0.25">
      <c r="A43" s="1">
        <v>88</v>
      </c>
      <c r="B43" s="14">
        <f t="shared" si="0"/>
        <v>46</v>
      </c>
      <c r="C43" s="61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4">
        <f t="shared" si="3"/>
        <v>47.116629277470928</v>
      </c>
      <c r="I43" s="14" t="str">
        <f t="shared" si="4"/>
        <v>CITS</v>
      </c>
    </row>
    <row r="44" spans="1:19" ht="15" customHeight="1" x14ac:dyDescent="0.25">
      <c r="A44" s="1">
        <v>28</v>
      </c>
      <c r="B44" s="14">
        <f t="shared" si="0"/>
        <v>76</v>
      </c>
      <c r="C44" s="61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4">
        <f t="shared" si="3"/>
        <v>182.49053247588083</v>
      </c>
      <c r="I44" s="14" t="str">
        <f t="shared" si="4"/>
        <v>CITS</v>
      </c>
    </row>
    <row r="45" spans="1:19" ht="15" customHeight="1" x14ac:dyDescent="0.25">
      <c r="A45" s="1">
        <v>91</v>
      </c>
      <c r="B45" s="14">
        <f t="shared" si="0"/>
        <v>44.5</v>
      </c>
      <c r="C45" s="61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4">
        <f t="shared" si="3"/>
        <v>45.695422734879585</v>
      </c>
      <c r="I45" s="14" t="str">
        <f t="shared" si="4"/>
        <v>PLATLEŅĶA</v>
      </c>
    </row>
    <row r="46" spans="1:19" ht="15" customHeight="1" x14ac:dyDescent="0.25">
      <c r="A46" s="1">
        <v>15</v>
      </c>
      <c r="B46" s="14">
        <f t="shared" si="0"/>
        <v>82.5</v>
      </c>
      <c r="C46" s="61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4">
        <f t="shared" si="3"/>
        <v>429.16010736897107</v>
      </c>
      <c r="I46" s="14" t="str">
        <f t="shared" si="4"/>
        <v>CITS</v>
      </c>
    </row>
    <row r="47" spans="1:19" ht="15" customHeight="1" x14ac:dyDescent="0.25">
      <c r="A47" s="1">
        <v>127</v>
      </c>
      <c r="B47" s="14">
        <f t="shared" si="0"/>
        <v>26.5</v>
      </c>
      <c r="C47" s="61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4">
        <f t="shared" si="3"/>
        <v>25.676952814751715</v>
      </c>
      <c r="I47" s="14" t="str">
        <f t="shared" si="4"/>
        <v>PLATLEŅĶA</v>
      </c>
    </row>
    <row r="48" spans="1:19" ht="15" customHeight="1" x14ac:dyDescent="0.25">
      <c r="A48" s="1">
        <v>12</v>
      </c>
      <c r="B48" s="14">
        <f t="shared" si="0"/>
        <v>84</v>
      </c>
      <c r="C48" s="61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4">
        <f t="shared" si="3"/>
        <v>504.26131607379642</v>
      </c>
      <c r="I48" s="14" t="str">
        <f t="shared" si="4"/>
        <v>CITS</v>
      </c>
    </row>
    <row r="49" spans="1:9" ht="15" customHeight="1" x14ac:dyDescent="0.25">
      <c r="A49" s="1">
        <v>38</v>
      </c>
      <c r="B49" s="14">
        <f t="shared" si="0"/>
        <v>71</v>
      </c>
      <c r="C49" s="61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4">
        <f t="shared" si="3"/>
        <v>156.82738739449439</v>
      </c>
      <c r="I49" s="14" t="str">
        <f t="shared" si="4"/>
        <v>CITS</v>
      </c>
    </row>
    <row r="50" spans="1:9" ht="15" customHeight="1" x14ac:dyDescent="0.25">
      <c r="A50" s="1">
        <v>105</v>
      </c>
      <c r="B50" s="14">
        <f t="shared" si="0"/>
        <v>37.5</v>
      </c>
      <c r="C50" s="61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4">
        <f t="shared" si="3"/>
        <v>43.353974820811288</v>
      </c>
      <c r="I50" s="14" t="str">
        <f t="shared" si="4"/>
        <v>PLATLEŅĶA</v>
      </c>
    </row>
    <row r="51" spans="1:9" ht="15" customHeight="1" x14ac:dyDescent="0.25">
      <c r="A51" s="1">
        <v>70</v>
      </c>
      <c r="B51" s="14">
        <f t="shared" si="0"/>
        <v>55</v>
      </c>
      <c r="C51" s="61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4">
        <f t="shared" si="3"/>
        <v>83.546658394413754</v>
      </c>
      <c r="I51" s="14" t="str">
        <f t="shared" si="4"/>
        <v>CITS</v>
      </c>
    </row>
    <row r="52" spans="1:9" ht="15" customHeight="1" x14ac:dyDescent="0.25">
      <c r="A52" s="1">
        <v>49</v>
      </c>
      <c r="B52" s="14">
        <f t="shared" si="0"/>
        <v>65.5</v>
      </c>
      <c r="C52" s="61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4">
        <f t="shared" si="3"/>
        <v>131.65798386990218</v>
      </c>
      <c r="I52" s="14" t="str">
        <f t="shared" si="4"/>
        <v>CITS</v>
      </c>
    </row>
    <row r="53" spans="1:9" ht="15" customHeight="1" x14ac:dyDescent="0.25">
      <c r="A53" s="1">
        <v>46</v>
      </c>
      <c r="B53" s="14">
        <f t="shared" si="0"/>
        <v>67</v>
      </c>
      <c r="C53" s="61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4">
        <f t="shared" si="3"/>
        <v>146.06284668107278</v>
      </c>
      <c r="I53" s="14" t="str">
        <f t="shared" si="4"/>
        <v>CITS</v>
      </c>
    </row>
    <row r="54" spans="1:9" ht="15" customHeight="1" x14ac:dyDescent="0.25">
      <c r="A54" s="1">
        <v>14</v>
      </c>
      <c r="B54" s="14">
        <f t="shared" si="0"/>
        <v>83</v>
      </c>
      <c r="C54" s="61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4">
        <f t="shared" si="3"/>
        <v>513.09382496239948</v>
      </c>
      <c r="I54" s="14" t="str">
        <f t="shared" si="4"/>
        <v>CITS</v>
      </c>
    </row>
    <row r="55" spans="1:9" ht="15" customHeight="1" x14ac:dyDescent="0.25">
      <c r="A55" s="1">
        <v>33</v>
      </c>
      <c r="B55" s="14">
        <f t="shared" si="0"/>
        <v>73.5</v>
      </c>
      <c r="C55" s="61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4">
        <f t="shared" si="3"/>
        <v>224.50023760231784</v>
      </c>
      <c r="I55" s="14" t="str">
        <f t="shared" si="4"/>
        <v>CITS</v>
      </c>
    </row>
    <row r="56" spans="1:9" ht="15" customHeight="1" x14ac:dyDescent="0.25">
      <c r="A56" s="1">
        <v>90</v>
      </c>
      <c r="B56" s="14">
        <f t="shared" si="0"/>
        <v>45</v>
      </c>
      <c r="C56" s="61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4">
        <f t="shared" si="3"/>
        <v>67.5</v>
      </c>
      <c r="I56" s="14" t="str">
        <f t="shared" si="4"/>
        <v>CITS</v>
      </c>
    </row>
    <row r="57" spans="1:9" ht="15" customHeight="1" x14ac:dyDescent="0.25">
      <c r="A57" s="1">
        <v>58</v>
      </c>
      <c r="B57" s="14">
        <f t="shared" si="0"/>
        <v>61</v>
      </c>
      <c r="C57" s="61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4">
        <f t="shared" si="3"/>
        <v>123.57727123609263</v>
      </c>
      <c r="I57" s="14" t="str">
        <f t="shared" si="4"/>
        <v>CITS</v>
      </c>
    </row>
    <row r="58" spans="1:9" ht="15" customHeight="1" x14ac:dyDescent="0.25">
      <c r="A58" s="1">
        <v>119</v>
      </c>
      <c r="B58" s="14">
        <f t="shared" si="0"/>
        <v>30.5</v>
      </c>
      <c r="C58" s="61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4">
        <f t="shared" si="3"/>
        <v>40.349583624807757</v>
      </c>
      <c r="I58" s="14" t="str">
        <f t="shared" si="4"/>
        <v>PLATLEŅĶA</v>
      </c>
    </row>
    <row r="59" spans="1:9" ht="15" customHeight="1" x14ac:dyDescent="0.25">
      <c r="A59" s="1">
        <v>38</v>
      </c>
      <c r="B59" s="14">
        <f t="shared" si="0"/>
        <v>71</v>
      </c>
      <c r="C59" s="61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4">
        <f t="shared" si="3"/>
        <v>206.19897231498339</v>
      </c>
      <c r="I59" s="14" t="str">
        <f t="shared" si="4"/>
        <v>CITS</v>
      </c>
    </row>
    <row r="60" spans="1:9" ht="15" customHeight="1" x14ac:dyDescent="0.25">
      <c r="A60" s="1">
        <v>33</v>
      </c>
      <c r="B60" s="14">
        <f t="shared" si="0"/>
        <v>73.5</v>
      </c>
      <c r="C60" s="61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4">
        <f t="shared" si="3"/>
        <v>263.32358696211713</v>
      </c>
      <c r="I60" s="14" t="str">
        <f t="shared" si="4"/>
        <v>CITS</v>
      </c>
    </row>
    <row r="61" spans="1:9" ht="15" customHeight="1" x14ac:dyDescent="0.25">
      <c r="A61" s="1">
        <v>126</v>
      </c>
      <c r="B61" s="14">
        <f t="shared" si="0"/>
        <v>27</v>
      </c>
      <c r="C61" s="61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4">
        <f t="shared" si="3"/>
        <v>40.252510510059906</v>
      </c>
      <c r="I61" s="14" t="str">
        <f t="shared" si="4"/>
        <v>PLATLEŅĶA</v>
      </c>
    </row>
    <row r="62" spans="1:9" ht="15" customHeight="1" x14ac:dyDescent="0.25">
      <c r="A62" s="1">
        <v>118</v>
      </c>
      <c r="B62" s="14">
        <f t="shared" si="0"/>
        <v>31</v>
      </c>
      <c r="C62" s="61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4">
        <f t="shared" si="3"/>
        <v>47.768419212691036</v>
      </c>
      <c r="I62" s="14" t="str">
        <f t="shared" si="4"/>
        <v>PLATLEŅĶA</v>
      </c>
    </row>
    <row r="63" spans="1:9" ht="15" customHeight="1" x14ac:dyDescent="0.25">
      <c r="A63" s="1">
        <v>38</v>
      </c>
      <c r="B63" s="14">
        <f t="shared" si="0"/>
        <v>71</v>
      </c>
      <c r="C63" s="61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4">
        <f t="shared" si="3"/>
        <v>242.50160828593116</v>
      </c>
      <c r="I63" s="14" t="str">
        <f t="shared" si="4"/>
        <v>CITS</v>
      </c>
    </row>
    <row r="64" spans="1:9" ht="15" customHeight="1" x14ac:dyDescent="0.25">
      <c r="A64" s="1">
        <v>127</v>
      </c>
      <c r="B64" s="14">
        <f t="shared" si="0"/>
        <v>26.5</v>
      </c>
      <c r="C64" s="61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4">
        <f t="shared" si="3"/>
        <v>44.373763116755427</v>
      </c>
      <c r="I64" s="14" t="str">
        <f t="shared" si="4"/>
        <v>PLATLEŅĶA</v>
      </c>
    </row>
    <row r="65" spans="1:9" ht="15" customHeight="1" x14ac:dyDescent="0.25">
      <c r="A65" s="1">
        <v>130</v>
      </c>
      <c r="B65" s="14">
        <f t="shared" si="0"/>
        <v>25</v>
      </c>
      <c r="C65" s="61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4">
        <f t="shared" si="3"/>
        <v>42.667150721182452</v>
      </c>
      <c r="I65" s="14" t="str">
        <f t="shared" si="4"/>
        <v>PLATLEŅĶA</v>
      </c>
    </row>
    <row r="66" spans="1:9" ht="15" customHeight="1" x14ac:dyDescent="0.25">
      <c r="A66" s="1">
        <v>50</v>
      </c>
      <c r="B66" s="14">
        <f t="shared" si="0"/>
        <v>65</v>
      </c>
      <c r="C66" s="61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4">
        <f t="shared" si="3"/>
        <v>200.51139706764374</v>
      </c>
      <c r="I66" s="14" t="str">
        <f t="shared" si="4"/>
        <v>CITS</v>
      </c>
    </row>
    <row r="67" spans="1:9" ht="15" customHeight="1" x14ac:dyDescent="0.25">
      <c r="A67" s="1">
        <v>12</v>
      </c>
      <c r="B67" s="14">
        <f t="shared" si="0"/>
        <v>84</v>
      </c>
      <c r="C67" s="61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4">
        <f t="shared" si="3"/>
        <v>894.35025869692311</v>
      </c>
      <c r="I67" s="14" t="str">
        <f t="shared" si="4"/>
        <v>CITS</v>
      </c>
    </row>
    <row r="68" spans="1:9" ht="15" customHeight="1" x14ac:dyDescent="0.25">
      <c r="A68" s="1">
        <v>29</v>
      </c>
      <c r="B68" s="14">
        <f t="shared" ref="B68:B70" si="5">(180-A68)/2</f>
        <v>75.5</v>
      </c>
      <c r="C68" s="61">
        <f t="shared" ref="C68:C70" si="6">SQRT((G68/2)*((G68/2)-D68)*((G68/2)-E68)*((G68/2)-F68))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SUM(D68,F68,E68)</f>
        <v>953.84047011385883</v>
      </c>
      <c r="H68" s="14">
        <f t="shared" ref="H68:H70" si="8">(2*C68)/D68</f>
        <v>369.27110056282942</v>
      </c>
      <c r="I68" s="14" t="str">
        <f t="shared" ref="I68:I70" si="9">IF(A68&gt;90,"PLATLEŅĶA","CITS")</f>
        <v>CITS</v>
      </c>
    </row>
    <row r="69" spans="1:9" ht="15" customHeight="1" x14ac:dyDescent="0.25">
      <c r="A69" s="1">
        <v>125</v>
      </c>
      <c r="B69" s="14">
        <f t="shared" si="5"/>
        <v>27.5</v>
      </c>
      <c r="C69" s="61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4">
        <f t="shared" si="8"/>
        <v>55.440390883761005</v>
      </c>
      <c r="I69" s="14" t="str">
        <f t="shared" si="9"/>
        <v>PLATLEŅĶA</v>
      </c>
    </row>
    <row r="70" spans="1:9" ht="15" customHeight="1" x14ac:dyDescent="0.25">
      <c r="A70" s="1">
        <v>42</v>
      </c>
      <c r="B70" s="14">
        <f t="shared" si="5"/>
        <v>69</v>
      </c>
      <c r="C70" s="61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4">
        <f t="shared" si="8"/>
        <v>281.34961898693081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K3" sqref="K3:O7"/>
    </sheetView>
  </sheetViews>
  <sheetFormatPr defaultColWidth="8.88671875" defaultRowHeight="13.2" x14ac:dyDescent="0.25"/>
  <cols>
    <col min="1" max="1" width="11.109375" style="16" customWidth="1"/>
    <col min="2" max="16384" width="8.88671875" style="16"/>
  </cols>
  <sheetData>
    <row r="1" spans="1:16" ht="17.399999999999999" x14ac:dyDescent="0.3">
      <c r="A1" s="15" t="s">
        <v>57</v>
      </c>
      <c r="B1" s="15"/>
      <c r="C1" s="15"/>
      <c r="D1" s="15"/>
      <c r="E1" s="15"/>
      <c r="F1" s="15"/>
      <c r="G1" s="15"/>
    </row>
    <row r="2" spans="1:16" x14ac:dyDescent="0.25">
      <c r="B2" s="72" t="s">
        <v>14</v>
      </c>
      <c r="C2" s="72"/>
      <c r="D2" s="72"/>
      <c r="E2" s="72"/>
      <c r="F2" s="72"/>
      <c r="G2" s="72"/>
    </row>
    <row r="3" spans="1:16" ht="13.95" customHeight="1" x14ac:dyDescent="0.25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80" t="s">
        <v>59</v>
      </c>
      <c r="L3" s="80"/>
      <c r="M3" s="80"/>
      <c r="N3" s="80"/>
      <c r="O3" s="80"/>
      <c r="P3" s="16" t="s">
        <v>3891</v>
      </c>
    </row>
    <row r="4" spans="1:16" x14ac:dyDescent="0.25">
      <c r="A4" s="17">
        <v>20</v>
      </c>
      <c r="B4" s="18"/>
      <c r="C4" s="18"/>
      <c r="D4" s="18"/>
      <c r="E4" s="18"/>
      <c r="F4" s="18"/>
      <c r="G4" s="18"/>
      <c r="K4" s="80"/>
      <c r="L4" s="80"/>
      <c r="M4" s="80"/>
      <c r="N4" s="80"/>
      <c r="O4" s="80"/>
    </row>
    <row r="5" spans="1:16" x14ac:dyDescent="0.25">
      <c r="A5" s="17">
        <v>30</v>
      </c>
      <c r="B5" s="18"/>
      <c r="C5" s="18"/>
      <c r="D5" s="18"/>
      <c r="E5" s="18"/>
      <c r="F5" s="18"/>
      <c r="G5" s="18"/>
      <c r="K5" s="80"/>
      <c r="L5" s="80"/>
      <c r="M5" s="80"/>
      <c r="N5" s="80"/>
      <c r="O5" s="80"/>
    </row>
    <row r="6" spans="1:16" x14ac:dyDescent="0.25">
      <c r="A6" s="17">
        <v>40</v>
      </c>
      <c r="B6" s="18"/>
      <c r="C6" s="18"/>
      <c r="D6" s="18"/>
      <c r="E6" s="18"/>
      <c r="F6" s="18"/>
      <c r="G6" s="18"/>
      <c r="K6" s="80"/>
      <c r="L6" s="80"/>
      <c r="M6" s="80"/>
      <c r="N6" s="80"/>
      <c r="O6" s="80"/>
    </row>
    <row r="7" spans="1:16" x14ac:dyDescent="0.25">
      <c r="A7" s="17">
        <v>50</v>
      </c>
      <c r="B7" s="18"/>
      <c r="C7" s="18"/>
      <c r="D7" s="18"/>
      <c r="E7" s="18"/>
      <c r="F7" s="18"/>
      <c r="G7" s="18"/>
      <c r="K7" s="80"/>
      <c r="L7" s="80"/>
      <c r="M7" s="80"/>
      <c r="N7" s="80"/>
      <c r="O7" s="80"/>
    </row>
    <row r="8" spans="1:16" x14ac:dyDescent="0.25">
      <c r="A8" s="17">
        <v>60</v>
      </c>
      <c r="B8" s="18"/>
      <c r="C8" s="18"/>
      <c r="D8" s="18"/>
      <c r="E8" s="18"/>
      <c r="F8" s="18"/>
      <c r="G8" s="18"/>
    </row>
    <row r="9" spans="1:16" x14ac:dyDescent="0.25">
      <c r="A9" s="17">
        <v>70</v>
      </c>
      <c r="B9" s="18"/>
      <c r="C9" s="18"/>
      <c r="D9" s="18"/>
      <c r="E9" s="18"/>
      <c r="F9" s="18"/>
      <c r="G9" s="18"/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topLeftCell="J1" zoomScaleNormal="100" workbookViewId="0">
      <selection activeCell="P8" sqref="P8:S15"/>
    </sheetView>
  </sheetViews>
  <sheetFormatPr defaultColWidth="9.109375" defaultRowHeight="13.2" x14ac:dyDescent="0.25"/>
  <cols>
    <col min="1" max="6" width="9.109375" style="1"/>
    <col min="7" max="13" width="15.5546875" style="1" customWidth="1"/>
    <col min="14" max="14" width="15.44140625" style="1" customWidth="1"/>
    <col min="15" max="15" width="12.33203125" style="42" customWidth="1"/>
    <col min="16" max="16384" width="9.109375" style="1"/>
  </cols>
  <sheetData>
    <row r="1" spans="1:20" x14ac:dyDescent="0.25">
      <c r="A1" s="5" t="s">
        <v>26</v>
      </c>
      <c r="I1" s="4"/>
    </row>
    <row r="2" spans="1:20" x14ac:dyDescent="0.25">
      <c r="A2" s="73" t="s">
        <v>25</v>
      </c>
      <c r="B2" s="73"/>
      <c r="C2" s="73"/>
      <c r="D2" s="73"/>
      <c r="E2" s="73"/>
      <c r="F2" s="73"/>
    </row>
    <row r="3" spans="1:20" s="3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56" t="s">
        <v>9</v>
      </c>
      <c r="K3" s="3" t="s">
        <v>28</v>
      </c>
      <c r="L3" s="3" t="s">
        <v>29</v>
      </c>
      <c r="M3" s="3" t="s">
        <v>30</v>
      </c>
      <c r="O3" s="42"/>
    </row>
    <row r="4" spans="1:20" ht="13.95" customHeight="1" x14ac:dyDescent="0.25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IF(OR(G4&lt;90,H4&lt;90,I4&lt;90),"ir šaurleņķa", "nav šaurleņķa")</f>
        <v>ir šaurleņķa</v>
      </c>
      <c r="O4" s="42">
        <v>20</v>
      </c>
      <c r="P4" s="70" t="s">
        <v>56</v>
      </c>
      <c r="Q4" s="70"/>
      <c r="R4" s="70"/>
      <c r="S4" s="70"/>
      <c r="T4" s="1" t="s">
        <v>3885</v>
      </c>
    </row>
    <row r="5" spans="1:20" x14ac:dyDescent="0.25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IF(OR(G5&lt;90,H5&lt;90,I5&lt;90),"ir šaurleņķa", "nav šaurleņķa")</f>
        <v>ir šaurleņķa</v>
      </c>
      <c r="P5" s="70"/>
      <c r="Q5" s="70"/>
      <c r="R5" s="70"/>
      <c r="S5" s="70"/>
    </row>
    <row r="6" spans="1:20" x14ac:dyDescent="0.25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ir šaurleņķa</v>
      </c>
      <c r="P6" s="70"/>
      <c r="Q6" s="70"/>
      <c r="R6" s="70"/>
      <c r="S6" s="70"/>
    </row>
    <row r="7" spans="1:20" x14ac:dyDescent="0.25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ir šaurleņķa</v>
      </c>
    </row>
    <row r="8" spans="1:20" ht="13.95" customHeight="1" x14ac:dyDescent="0.25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ir šaurleņķa</v>
      </c>
      <c r="O8" s="42">
        <v>21</v>
      </c>
      <c r="P8" s="81" t="s">
        <v>3890</v>
      </c>
      <c r="Q8" s="81"/>
      <c r="R8" s="81"/>
      <c r="S8" s="81"/>
      <c r="T8" s="1" t="s">
        <v>3884</v>
      </c>
    </row>
    <row r="9" spans="1:20" x14ac:dyDescent="0.25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ir šaurleņķa</v>
      </c>
      <c r="P9" s="81"/>
      <c r="Q9" s="81"/>
      <c r="R9" s="81"/>
      <c r="S9" s="81"/>
    </row>
    <row r="10" spans="1:20" x14ac:dyDescent="0.25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ir šaurleņķa</v>
      </c>
      <c r="P10" s="81"/>
      <c r="Q10" s="81"/>
      <c r="R10" s="81"/>
      <c r="S10" s="81"/>
    </row>
    <row r="11" spans="1:20" x14ac:dyDescent="0.25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ir šaurleņķa</v>
      </c>
      <c r="P11" s="81"/>
      <c r="Q11" s="81"/>
      <c r="R11" s="81"/>
      <c r="S11" s="81"/>
    </row>
    <row r="12" spans="1:20" x14ac:dyDescent="0.25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ir šaurleņķa</v>
      </c>
      <c r="P12" s="81"/>
      <c r="Q12" s="81"/>
      <c r="R12" s="81"/>
      <c r="S12" s="81"/>
    </row>
    <row r="13" spans="1:20" x14ac:dyDescent="0.25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ir šaurleņķa</v>
      </c>
      <c r="P13" s="81"/>
      <c r="Q13" s="81"/>
      <c r="R13" s="81"/>
      <c r="S13" s="81"/>
    </row>
    <row r="14" spans="1:20" x14ac:dyDescent="0.25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ir šaurleņķa</v>
      </c>
      <c r="P14" s="81"/>
      <c r="Q14" s="81"/>
      <c r="R14" s="81"/>
      <c r="S14" s="81"/>
    </row>
    <row r="15" spans="1:20" x14ac:dyDescent="0.25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ir šaurleņķa</v>
      </c>
      <c r="P15" s="81"/>
      <c r="Q15" s="81"/>
      <c r="R15" s="81"/>
      <c r="S15" s="81"/>
    </row>
    <row r="16" spans="1:20" x14ac:dyDescent="0.25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ir šaurleņķa</v>
      </c>
    </row>
    <row r="17" spans="1:14" x14ac:dyDescent="0.25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ir šaurleņķa</v>
      </c>
    </row>
    <row r="18" spans="1:14" x14ac:dyDescent="0.25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ir šaurleņķa</v>
      </c>
    </row>
    <row r="19" spans="1:14" x14ac:dyDescent="0.25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ir šaurleņķa</v>
      </c>
    </row>
    <row r="20" spans="1:14" x14ac:dyDescent="0.25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ir šaurleņķa</v>
      </c>
    </row>
    <row r="21" spans="1:14" x14ac:dyDescent="0.25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ir šaurleņķa</v>
      </c>
    </row>
    <row r="22" spans="1:14" x14ac:dyDescent="0.25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ir šaurleņķa</v>
      </c>
    </row>
    <row r="23" spans="1:14" x14ac:dyDescent="0.25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ir šaurleņķa</v>
      </c>
    </row>
    <row r="24" spans="1:14" x14ac:dyDescent="0.25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ir šaurleņķa</v>
      </c>
    </row>
    <row r="25" spans="1:14" x14ac:dyDescent="0.25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ir šaurleņķa</v>
      </c>
    </row>
    <row r="26" spans="1:14" x14ac:dyDescent="0.25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ir šaurleņķa</v>
      </c>
    </row>
    <row r="27" spans="1:14" x14ac:dyDescent="0.25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ir šaurleņķa</v>
      </c>
    </row>
    <row r="28" spans="1:14" x14ac:dyDescent="0.25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ir šaurleņķa</v>
      </c>
    </row>
    <row r="29" spans="1:14" x14ac:dyDescent="0.25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ir šaurleņķa</v>
      </c>
    </row>
    <row r="30" spans="1:14" x14ac:dyDescent="0.25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ir šaurleņķa</v>
      </c>
    </row>
    <row r="31" spans="1:14" x14ac:dyDescent="0.25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ir šaurleņķa</v>
      </c>
    </row>
    <row r="32" spans="1:14" x14ac:dyDescent="0.25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ir šaurleņķa</v>
      </c>
    </row>
    <row r="33" spans="1:14" x14ac:dyDescent="0.25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ir šaurleņķa</v>
      </c>
    </row>
    <row r="34" spans="1:14" x14ac:dyDescent="0.25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ir šaurleņķa</v>
      </c>
    </row>
    <row r="35" spans="1:14" x14ac:dyDescent="0.25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ir šaurleņķa</v>
      </c>
    </row>
    <row r="36" spans="1:14" x14ac:dyDescent="0.25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ir šaurleņķa</v>
      </c>
    </row>
    <row r="37" spans="1:14" x14ac:dyDescent="0.25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ir šaurleņķa</v>
      </c>
    </row>
    <row r="38" spans="1:14" x14ac:dyDescent="0.25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ir šaurleņķa</v>
      </c>
    </row>
    <row r="39" spans="1:14" x14ac:dyDescent="0.25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ir šaurleņķa</v>
      </c>
    </row>
    <row r="40" spans="1:14" x14ac:dyDescent="0.25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ir šaurleņķa</v>
      </c>
    </row>
    <row r="41" spans="1:14" x14ac:dyDescent="0.25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ir šaurleņķa</v>
      </c>
    </row>
    <row r="42" spans="1:14" x14ac:dyDescent="0.25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ir šaurleņķa</v>
      </c>
    </row>
    <row r="43" spans="1:14" x14ac:dyDescent="0.25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ir šaurleņķa</v>
      </c>
    </row>
    <row r="44" spans="1:14" x14ac:dyDescent="0.25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ir šaurleņķa</v>
      </c>
    </row>
    <row r="45" spans="1:14" x14ac:dyDescent="0.25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ir šaurleņķa</v>
      </c>
    </row>
    <row r="46" spans="1:14" x14ac:dyDescent="0.25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ir šaurleņķa</v>
      </c>
    </row>
    <row r="47" spans="1:14" x14ac:dyDescent="0.25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ir šaurleņķa</v>
      </c>
    </row>
    <row r="48" spans="1:14" x14ac:dyDescent="0.25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ir šaurleņķa</v>
      </c>
    </row>
    <row r="49" spans="1:14" x14ac:dyDescent="0.25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ir šaurleņķa</v>
      </c>
    </row>
    <row r="50" spans="1:14" x14ac:dyDescent="0.25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ir šaurleņķa</v>
      </c>
    </row>
    <row r="51" spans="1:14" x14ac:dyDescent="0.25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>
        <f t="shared" si="0"/>
        <v>ir šaurleņķa</v>
      </c>
    </row>
    <row r="52" spans="1:14" x14ac:dyDescent="0.25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ir šaurleņķa</v>
      </c>
    </row>
    <row r="53" spans="1:14" x14ac:dyDescent="0.25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ir šaurleņķa</v>
      </c>
    </row>
    <row r="54" spans="1:14" x14ac:dyDescent="0.25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ir šaurleņķa</v>
      </c>
    </row>
    <row r="55" spans="1:14" x14ac:dyDescent="0.25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ir šaurleņķa</v>
      </c>
    </row>
    <row r="56" spans="1:14" x14ac:dyDescent="0.25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ir šaurleņķa</v>
      </c>
    </row>
    <row r="57" spans="1:14" x14ac:dyDescent="0.25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ir šaurleņķa</v>
      </c>
    </row>
    <row r="58" spans="1:14" x14ac:dyDescent="0.25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ir šaurleņķa</v>
      </c>
    </row>
    <row r="59" spans="1:14" x14ac:dyDescent="0.25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ir šaurleņķa</v>
      </c>
    </row>
    <row r="60" spans="1:14" x14ac:dyDescent="0.25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ir šaurleņķa</v>
      </c>
    </row>
    <row r="61" spans="1:14" x14ac:dyDescent="0.25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ir šaurleņķa</v>
      </c>
    </row>
    <row r="62" spans="1:14" x14ac:dyDescent="0.25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ir šaurleņķa</v>
      </c>
    </row>
    <row r="63" spans="1:14" x14ac:dyDescent="0.25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ir šaurleņķa</v>
      </c>
    </row>
    <row r="64" spans="1:14" x14ac:dyDescent="0.25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ir šaurleņķa</v>
      </c>
    </row>
    <row r="65" spans="1:14" x14ac:dyDescent="0.25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ir šaurleņķa</v>
      </c>
    </row>
    <row r="66" spans="1:14" x14ac:dyDescent="0.25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ir šaurleņķa</v>
      </c>
    </row>
    <row r="67" spans="1:14" x14ac:dyDescent="0.25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ir šaurleņķa</v>
      </c>
    </row>
    <row r="68" spans="1:14" x14ac:dyDescent="0.25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ir šaurleņķa</v>
      </c>
    </row>
    <row r="69" spans="1:14" x14ac:dyDescent="0.25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IF(OR(G69&lt;90,H69&lt;90,I69&lt;90),"ir šaurleņķa", "nav šaurleņķa")</f>
        <v>ir šaurleņķa</v>
      </c>
    </row>
    <row r="70" spans="1:14" x14ac:dyDescent="0.25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ir šaurleņķa</v>
      </c>
    </row>
    <row r="71" spans="1:14" x14ac:dyDescent="0.25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ir 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0" activePane="bottomLeft" state="frozen"/>
      <selection activeCell="J1" sqref="J1"/>
      <selection pane="bottomLeft" activeCell="N3" sqref="N3"/>
    </sheetView>
  </sheetViews>
  <sheetFormatPr defaultColWidth="9.109375" defaultRowHeight="13.2" x14ac:dyDescent="0.25"/>
  <cols>
    <col min="1" max="6" width="9.109375" style="1"/>
    <col min="7" max="14" width="15" style="1" customWidth="1"/>
    <col min="15" max="15" width="11.6640625" style="1" customWidth="1"/>
    <col min="16" max="19" width="9.109375" style="1"/>
    <col min="20" max="20" width="10.44140625" style="1" customWidth="1"/>
    <col min="21" max="16384" width="9.109375" style="1"/>
  </cols>
  <sheetData>
    <row r="1" spans="1:21" x14ac:dyDescent="0.25">
      <c r="A1" s="5" t="s">
        <v>26</v>
      </c>
    </row>
    <row r="2" spans="1:21" x14ac:dyDescent="0.25">
      <c r="A2" s="73" t="s">
        <v>25</v>
      </c>
      <c r="B2" s="73"/>
      <c r="C2" s="73"/>
      <c r="D2" s="73"/>
      <c r="E2" s="73"/>
      <c r="F2" s="73"/>
      <c r="G2" s="2"/>
      <c r="H2" s="2"/>
      <c r="I2" s="2"/>
      <c r="J2" s="2"/>
      <c r="N2" s="62">
        <f>AVERAGE(N4:N71)</f>
        <v>326.47189037681227</v>
      </c>
    </row>
    <row r="3" spans="1:21" s="3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3.8" x14ac:dyDescent="0.25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62">
        <v>75.63225833085292</v>
      </c>
      <c r="H4" s="62">
        <v>52.216172453709319</v>
      </c>
      <c r="I4" s="62">
        <v>52.151569215437704</v>
      </c>
      <c r="J4" s="62">
        <v>14943.999999999995</v>
      </c>
      <c r="K4" s="62">
        <v>152.30561381643159</v>
      </c>
      <c r="L4" s="62">
        <v>124.1491039033307</v>
      </c>
      <c r="M4" s="62">
        <v>124.25779653607253</v>
      </c>
      <c r="N4" s="62">
        <v>400.71251425583483</v>
      </c>
      <c r="P4" s="42">
        <v>17</v>
      </c>
      <c r="Q4" s="39" t="s">
        <v>60</v>
      </c>
      <c r="R4" s="14"/>
      <c r="S4" s="14"/>
      <c r="T4" s="14"/>
      <c r="U4" s="1" t="s">
        <v>3885</v>
      </c>
    </row>
    <row r="5" spans="1:21" x14ac:dyDescent="0.25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62">
        <v>91.450098927324149</v>
      </c>
      <c r="H5" s="62">
        <v>43.425931385646315</v>
      </c>
      <c r="I5" s="62">
        <v>45.123969687029415</v>
      </c>
      <c r="J5" s="62">
        <v>18526.999999999989</v>
      </c>
      <c r="K5" s="62">
        <v>194.98974332000131</v>
      </c>
      <c r="L5" s="62">
        <v>138.2208377922808</v>
      </c>
      <c r="M5" s="62">
        <v>134.08206442324789</v>
      </c>
      <c r="N5" s="62">
        <v>467.29264553553003</v>
      </c>
      <c r="P5" s="42"/>
    </row>
    <row r="6" spans="1:21" ht="13.95" customHeight="1" x14ac:dyDescent="0.25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62">
        <v>63.086615042098479</v>
      </c>
      <c r="H6" s="62">
        <v>43.43723958735621</v>
      </c>
      <c r="I6" s="62">
        <v>73.476145370545396</v>
      </c>
      <c r="J6" s="62">
        <v>13709.000000000005</v>
      </c>
      <c r="K6" s="62">
        <v>136.18002790424151</v>
      </c>
      <c r="L6" s="62">
        <v>146.4137971640651</v>
      </c>
      <c r="M6" s="62">
        <v>105.00476179678711</v>
      </c>
      <c r="N6" s="62">
        <v>387.59858686509369</v>
      </c>
      <c r="P6" s="42">
        <v>18</v>
      </c>
      <c r="Q6" s="70" t="s">
        <v>54</v>
      </c>
      <c r="R6" s="70"/>
      <c r="S6" s="70"/>
      <c r="T6" s="70"/>
      <c r="U6" s="1" t="s">
        <v>3885</v>
      </c>
    </row>
    <row r="7" spans="1:21" x14ac:dyDescent="0.25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62">
        <v>27.0585082130677</v>
      </c>
      <c r="H7" s="62">
        <v>84.055839131018146</v>
      </c>
      <c r="I7" s="62">
        <v>68.8856526559142</v>
      </c>
      <c r="J7" s="62">
        <v>3496</v>
      </c>
      <c r="K7" s="62">
        <v>41.400483088968905</v>
      </c>
      <c r="L7" s="62">
        <v>84.899941107164494</v>
      </c>
      <c r="M7" s="62">
        <v>90.520715861066847</v>
      </c>
      <c r="N7" s="62">
        <v>216.82114005720024</v>
      </c>
      <c r="P7" s="42"/>
      <c r="Q7" s="70"/>
      <c r="R7" s="70"/>
      <c r="S7" s="70"/>
      <c r="T7" s="70"/>
    </row>
    <row r="8" spans="1:21" x14ac:dyDescent="0.25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62">
        <v>23.543366594656415</v>
      </c>
      <c r="H8" s="62">
        <v>34.861933316812738</v>
      </c>
      <c r="I8" s="62">
        <v>121.5947000885308</v>
      </c>
      <c r="J8" s="62">
        <v>11487.999999999984</v>
      </c>
      <c r="K8" s="62">
        <v>97.082439194738001</v>
      </c>
      <c r="L8" s="62">
        <v>207.01932276963907</v>
      </c>
      <c r="M8" s="62">
        <v>138.92443989449805</v>
      </c>
      <c r="N8" s="62">
        <v>443.02620185887514</v>
      </c>
      <c r="P8" s="42"/>
      <c r="Q8" s="70"/>
      <c r="R8" s="70"/>
      <c r="S8" s="70"/>
      <c r="T8" s="70"/>
    </row>
    <row r="9" spans="1:21" x14ac:dyDescent="0.25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62">
        <v>130.83916110256348</v>
      </c>
      <c r="H9" s="62">
        <v>34.873575000471696</v>
      </c>
      <c r="I9" s="62">
        <v>14.287263896964657</v>
      </c>
      <c r="J9" s="62">
        <v>1857.9999999999986</v>
      </c>
      <c r="K9" s="62">
        <v>99.809819156233317</v>
      </c>
      <c r="L9" s="62">
        <v>32.557641192199412</v>
      </c>
      <c r="M9" s="62">
        <v>75.432088662584434</v>
      </c>
      <c r="N9" s="62">
        <v>207.79954901101718</v>
      </c>
      <c r="P9" s="42"/>
    </row>
    <row r="10" spans="1:21" ht="13.95" customHeight="1" x14ac:dyDescent="0.25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62">
        <v>52.418157794066431</v>
      </c>
      <c r="H10" s="62">
        <v>37.449936488316631</v>
      </c>
      <c r="I10" s="62">
        <v>90.131905717616903</v>
      </c>
      <c r="J10" s="62">
        <v>16506.000000000007</v>
      </c>
      <c r="K10" s="62">
        <v>146.66969693839283</v>
      </c>
      <c r="L10" s="62">
        <v>185.07566020414461</v>
      </c>
      <c r="M10" s="62">
        <v>112.53888216967503</v>
      </c>
      <c r="N10" s="62">
        <v>444.28423931221249</v>
      </c>
      <c r="P10" s="42">
        <v>19</v>
      </c>
      <c r="Q10" s="70" t="s">
        <v>55</v>
      </c>
      <c r="R10" s="70"/>
      <c r="S10" s="70"/>
      <c r="T10" s="70"/>
      <c r="U10" s="1" t="s">
        <v>3885</v>
      </c>
    </row>
    <row r="11" spans="1:21" x14ac:dyDescent="0.25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62">
        <v>54.07593731588512</v>
      </c>
      <c r="H11" s="62">
        <v>97.184267392426889</v>
      </c>
      <c r="I11" s="62">
        <v>28.739795291688058</v>
      </c>
      <c r="J11" s="62">
        <v>12018.999999999998</v>
      </c>
      <c r="K11" s="62">
        <v>142.83556979968259</v>
      </c>
      <c r="L11" s="62">
        <v>84.811555816409836</v>
      </c>
      <c r="M11" s="62">
        <v>175</v>
      </c>
      <c r="N11" s="62">
        <v>402.64712561609241</v>
      </c>
      <c r="Q11" s="70"/>
      <c r="R11" s="70"/>
      <c r="S11" s="70"/>
      <c r="T11" s="70"/>
    </row>
    <row r="12" spans="1:21" x14ac:dyDescent="0.25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62">
        <v>63.807999609549135</v>
      </c>
      <c r="H12" s="62">
        <v>84.478065430793094</v>
      </c>
      <c r="I12" s="62">
        <v>31.71393495965787</v>
      </c>
      <c r="J12" s="62">
        <v>16333</v>
      </c>
      <c r="K12" s="62">
        <v>167.36188335460378</v>
      </c>
      <c r="L12" s="62">
        <v>98.045907614749524</v>
      </c>
      <c r="M12" s="62">
        <v>185.64751546950473</v>
      </c>
      <c r="N12" s="62">
        <v>451.055306438858</v>
      </c>
      <c r="Q12" s="70"/>
      <c r="R12" s="70"/>
      <c r="S12" s="70"/>
      <c r="T12" s="70"/>
    </row>
    <row r="13" spans="1:21" x14ac:dyDescent="0.25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62">
        <v>178.14761269720339</v>
      </c>
      <c r="H13" s="62">
        <v>1.2775709972209182</v>
      </c>
      <c r="I13" s="62">
        <v>0.57481630556929753</v>
      </c>
      <c r="J13" s="62">
        <v>149.99999999977916</v>
      </c>
      <c r="K13" s="62">
        <v>147.23111084278349</v>
      </c>
      <c r="L13" s="62">
        <v>45.694638635183452</v>
      </c>
      <c r="M13" s="62">
        <v>101.55294185792945</v>
      </c>
      <c r="N13" s="62">
        <v>294.47869133589643</v>
      </c>
    </row>
    <row r="14" spans="1:21" x14ac:dyDescent="0.25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62">
        <v>80.614542737266675</v>
      </c>
      <c r="H14" s="62">
        <v>54.623307379650178</v>
      </c>
      <c r="I14" s="62">
        <v>44.762149883083083</v>
      </c>
      <c r="J14" s="62">
        <v>15112.999999999996</v>
      </c>
      <c r="K14" s="62">
        <v>161.15210206509875</v>
      </c>
      <c r="L14" s="62">
        <v>115.0173899895142</v>
      </c>
      <c r="M14" s="62">
        <v>133.18032887780387</v>
      </c>
      <c r="N14" s="62">
        <v>409.34982093241683</v>
      </c>
    </row>
    <row r="15" spans="1:21" x14ac:dyDescent="0.25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62">
        <v>51.441999439848495</v>
      </c>
      <c r="H15" s="62">
        <v>69.673927973325561</v>
      </c>
      <c r="I15" s="62">
        <v>58.884072586825873</v>
      </c>
      <c r="J15" s="62">
        <v>5085.9999999999991</v>
      </c>
      <c r="K15" s="62">
        <v>70.384657419071104</v>
      </c>
      <c r="L15" s="62">
        <v>77.058419397233934</v>
      </c>
      <c r="M15" s="62">
        <v>84.403791384036765</v>
      </c>
      <c r="N15" s="62">
        <v>231.84686820034182</v>
      </c>
    </row>
    <row r="16" spans="1:21" x14ac:dyDescent="0.25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62">
        <v>71.182480931978702</v>
      </c>
      <c r="H16" s="62">
        <v>19.153856733935445</v>
      </c>
      <c r="I16" s="62">
        <v>89.663662334085799</v>
      </c>
      <c r="J16" s="62">
        <v>3406.9999999999914</v>
      </c>
      <c r="K16" s="62">
        <v>99.141313285632847</v>
      </c>
      <c r="L16" s="62">
        <v>104.7377677822093</v>
      </c>
      <c r="M16" s="62">
        <v>34.365680554879162</v>
      </c>
      <c r="N16" s="62">
        <v>238.24476162272131</v>
      </c>
    </row>
    <row r="17" spans="1:14" x14ac:dyDescent="0.25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62">
        <v>145.50972490545837</v>
      </c>
      <c r="H17" s="62">
        <v>15.025457165319999</v>
      </c>
      <c r="I17" s="62">
        <v>19.464817929222001</v>
      </c>
      <c r="J17" s="62">
        <v>3846.0000000000418</v>
      </c>
      <c r="K17" s="62">
        <v>158.7765725792064</v>
      </c>
      <c r="L17" s="62">
        <v>93.434469014384618</v>
      </c>
      <c r="M17" s="62">
        <v>72.691127381544987</v>
      </c>
      <c r="N17" s="62">
        <v>324.90216897513596</v>
      </c>
    </row>
    <row r="18" spans="1:14" x14ac:dyDescent="0.25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62">
        <v>43.815522268731321</v>
      </c>
      <c r="H18" s="62">
        <v>72.658871105027345</v>
      </c>
      <c r="I18" s="62">
        <v>63.525606626241341</v>
      </c>
      <c r="J18" s="62">
        <v>10372.999999999998</v>
      </c>
      <c r="K18" s="62">
        <v>91.678787077491378</v>
      </c>
      <c r="L18" s="62">
        <v>118.53269591129698</v>
      </c>
      <c r="M18" s="62">
        <v>126.40015822774906</v>
      </c>
      <c r="N18" s="62">
        <v>336.61164121653741</v>
      </c>
    </row>
    <row r="19" spans="1:14" x14ac:dyDescent="0.25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62">
        <v>22.290919139948436</v>
      </c>
      <c r="H19" s="62">
        <v>142.89719396423553</v>
      </c>
      <c r="I19" s="62">
        <v>14.81188689581653</v>
      </c>
      <c r="J19" s="62">
        <v>3709.9999999999955</v>
      </c>
      <c r="K19" s="62">
        <v>95.524865872714003</v>
      </c>
      <c r="L19" s="62">
        <v>64.381674411279491</v>
      </c>
      <c r="M19" s="62">
        <v>151.92103211866353</v>
      </c>
      <c r="N19" s="62">
        <v>311.82757240265698</v>
      </c>
    </row>
    <row r="20" spans="1:14" x14ac:dyDescent="0.25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62">
        <v>61.987858592645289</v>
      </c>
      <c r="H20" s="62">
        <v>75.612768399279631</v>
      </c>
      <c r="I20" s="62">
        <v>42.399373008075095</v>
      </c>
      <c r="J20" s="62">
        <v>4487</v>
      </c>
      <c r="K20" s="62">
        <v>77.878109889750149</v>
      </c>
      <c r="L20" s="62">
        <v>59.481089431852205</v>
      </c>
      <c r="M20" s="62">
        <v>85.445889310135925</v>
      </c>
      <c r="N20" s="62">
        <v>222.80508863173827</v>
      </c>
    </row>
    <row r="21" spans="1:14" x14ac:dyDescent="0.25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62">
        <v>9.5415387125488937</v>
      </c>
      <c r="H21" s="62">
        <v>15.008913676658743</v>
      </c>
      <c r="I21" s="62">
        <v>155.44954761079268</v>
      </c>
      <c r="J21" s="62">
        <v>2109.0000000000082</v>
      </c>
      <c r="K21" s="62">
        <v>57</v>
      </c>
      <c r="L21" s="62">
        <v>142.87407042567241</v>
      </c>
      <c r="M21" s="62">
        <v>89.050547443572739</v>
      </c>
      <c r="N21" s="62">
        <v>288.92461786924514</v>
      </c>
    </row>
    <row r="22" spans="1:14" x14ac:dyDescent="0.25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62">
        <v>23.776592785988477</v>
      </c>
      <c r="H22" s="62">
        <v>115.15690317286972</v>
      </c>
      <c r="I22" s="62">
        <v>41.066504041141755</v>
      </c>
      <c r="J22" s="62">
        <v>8302.0000000000018</v>
      </c>
      <c r="K22" s="62">
        <v>75.026661927610775</v>
      </c>
      <c r="L22" s="62">
        <v>122.24974437601087</v>
      </c>
      <c r="M22" s="62">
        <v>168.43990026119107</v>
      </c>
      <c r="N22" s="62">
        <v>365.71630656481273</v>
      </c>
    </row>
    <row r="23" spans="1:14" x14ac:dyDescent="0.25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62">
        <v>38.482822923302493</v>
      </c>
      <c r="H23" s="62">
        <v>118.53761429541746</v>
      </c>
      <c r="I23" s="62">
        <v>22.979562781280098</v>
      </c>
      <c r="J23" s="62">
        <v>4908</v>
      </c>
      <c r="K23" s="62">
        <v>94.36630754670864</v>
      </c>
      <c r="L23" s="62">
        <v>59.203040462462738</v>
      </c>
      <c r="M23" s="62">
        <v>133.22161986704711</v>
      </c>
      <c r="N23" s="62">
        <v>286.79096787621847</v>
      </c>
    </row>
    <row r="24" spans="1:14" x14ac:dyDescent="0.25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62">
        <v>63.257012191511606</v>
      </c>
      <c r="H24" s="62">
        <v>77.54669319198446</v>
      </c>
      <c r="I24" s="62">
        <v>39.19629461650387</v>
      </c>
      <c r="J24" s="62">
        <v>6429.9999999999991</v>
      </c>
      <c r="K24" s="62">
        <v>96.462427918853464</v>
      </c>
      <c r="L24" s="62">
        <v>68.264192663504048</v>
      </c>
      <c r="M24" s="62">
        <v>105.47511554864494</v>
      </c>
      <c r="N24" s="62">
        <v>270.20173613100246</v>
      </c>
    </row>
    <row r="25" spans="1:14" x14ac:dyDescent="0.25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62">
        <v>43.023902103128215</v>
      </c>
      <c r="H25" s="62">
        <v>14.772938141053261</v>
      </c>
      <c r="I25" s="62">
        <v>122.20315975581845</v>
      </c>
      <c r="J25" s="62">
        <v>4910.9999999999754</v>
      </c>
      <c r="K25" s="62">
        <v>124.61942063739504</v>
      </c>
      <c r="L25" s="62">
        <v>154.54772725601629</v>
      </c>
      <c r="M25" s="62">
        <v>46.572524088780071</v>
      </c>
      <c r="N25" s="62">
        <v>325.7396719821914</v>
      </c>
    </row>
    <row r="26" spans="1:14" x14ac:dyDescent="0.25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62">
        <v>130.66768601681142</v>
      </c>
      <c r="H26" s="62">
        <v>41.947117485207571</v>
      </c>
      <c r="I26" s="62">
        <v>7.3851964979808304</v>
      </c>
      <c r="J26" s="62">
        <v>2555.9999999999995</v>
      </c>
      <c r="K26" s="62">
        <v>150.21318184500319</v>
      </c>
      <c r="L26" s="62">
        <v>25.45584412271571</v>
      </c>
      <c r="M26" s="62">
        <v>132.3782459469833</v>
      </c>
      <c r="N26" s="62">
        <v>308.04727191470221</v>
      </c>
    </row>
    <row r="27" spans="1:14" x14ac:dyDescent="0.25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62">
        <v>55.042940723831862</v>
      </c>
      <c r="H27" s="62">
        <v>23.040218366450549</v>
      </c>
      <c r="I27" s="62">
        <v>101.91684090971758</v>
      </c>
      <c r="J27" s="62">
        <v>14855.000000000022</v>
      </c>
      <c r="K27" s="62">
        <v>178.30591689565435</v>
      </c>
      <c r="L27" s="62">
        <v>212.86850401127921</v>
      </c>
      <c r="M27" s="62">
        <v>85.14693182963201</v>
      </c>
      <c r="N27" s="62">
        <v>476.32135273656559</v>
      </c>
    </row>
    <row r="28" spans="1:14" x14ac:dyDescent="0.25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62">
        <v>105.45455621512447</v>
      </c>
      <c r="H28" s="62">
        <v>34.601343514979156</v>
      </c>
      <c r="I28" s="62">
        <v>39.944100269896211</v>
      </c>
      <c r="J28" s="62">
        <v>8159.9999999999836</v>
      </c>
      <c r="K28" s="62">
        <v>146.87409574189726</v>
      </c>
      <c r="L28" s="62">
        <v>97.836598469080073</v>
      </c>
      <c r="M28" s="62">
        <v>86.53323061113575</v>
      </c>
      <c r="N28" s="62">
        <v>331.24392482211312</v>
      </c>
    </row>
    <row r="29" spans="1:14" x14ac:dyDescent="0.25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62">
        <v>6.2805610355424903</v>
      </c>
      <c r="H29" s="62">
        <v>152.51605764849953</v>
      </c>
      <c r="I29" s="62">
        <v>21.203381315957945</v>
      </c>
      <c r="J29" s="62">
        <v>1184.000000000002</v>
      </c>
      <c r="K29" s="62">
        <v>27.856776554368238</v>
      </c>
      <c r="L29" s="62">
        <v>92.097774131626011</v>
      </c>
      <c r="M29" s="62">
        <v>117.51595636338071</v>
      </c>
      <c r="N29" s="62">
        <v>237.47050704937496</v>
      </c>
    </row>
    <row r="30" spans="1:14" x14ac:dyDescent="0.25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62">
        <v>149.63310187053602</v>
      </c>
      <c r="H30" s="62">
        <v>22.208511235429423</v>
      </c>
      <c r="I30" s="62">
        <v>8.1583868940346917</v>
      </c>
      <c r="J30" s="62">
        <v>2114.0000000000059</v>
      </c>
      <c r="K30" s="62">
        <v>141.15239990875111</v>
      </c>
      <c r="L30" s="62">
        <v>39.623225512317902</v>
      </c>
      <c r="M30" s="62">
        <v>105.53672346628922</v>
      </c>
      <c r="N30" s="62">
        <v>286.31234888735821</v>
      </c>
    </row>
    <row r="31" spans="1:14" x14ac:dyDescent="0.25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62">
        <v>60.671745676477592</v>
      </c>
      <c r="H31" s="62">
        <v>25.905869817716045</v>
      </c>
      <c r="I31" s="62">
        <v>93.422384505806249</v>
      </c>
      <c r="J31" s="62">
        <v>14112.999999999964</v>
      </c>
      <c r="K31" s="62">
        <v>167.96725871431016</v>
      </c>
      <c r="L31" s="62">
        <v>192.31744590650115</v>
      </c>
      <c r="M31" s="62">
        <v>84.172442046075858</v>
      </c>
      <c r="N31" s="62">
        <v>444.45714666688718</v>
      </c>
    </row>
    <row r="32" spans="1:14" x14ac:dyDescent="0.25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62">
        <v>74.530425232267149</v>
      </c>
      <c r="H32" s="62">
        <v>5.2205539839765773</v>
      </c>
      <c r="I32" s="62">
        <v>100.2490207837559</v>
      </c>
      <c r="J32" s="62">
        <v>1354.9999999999243</v>
      </c>
      <c r="K32" s="62">
        <v>120.76837334335509</v>
      </c>
      <c r="L32" s="62">
        <v>123.30855606972291</v>
      </c>
      <c r="M32" s="62">
        <v>11.401754250991379</v>
      </c>
      <c r="N32" s="62">
        <v>255.47868366406939</v>
      </c>
    </row>
    <row r="33" spans="1:14" x14ac:dyDescent="0.25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62">
        <v>43.170086360492895</v>
      </c>
      <c r="H33" s="62">
        <v>38.938211211271316</v>
      </c>
      <c r="I33" s="62">
        <v>97.891702428235689</v>
      </c>
      <c r="J33" s="62">
        <v>3938.9999999999959</v>
      </c>
      <c r="K33" s="62">
        <v>65.79513659838392</v>
      </c>
      <c r="L33" s="62">
        <v>95.257545632878873</v>
      </c>
      <c r="M33" s="62">
        <v>60.440052945046304</v>
      </c>
      <c r="N33" s="62">
        <v>221.49273517630911</v>
      </c>
    </row>
    <row r="34" spans="1:14" x14ac:dyDescent="0.25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62">
        <v>105.58440116690444</v>
      </c>
      <c r="H34" s="62">
        <v>16.175078917908351</v>
      </c>
      <c r="I34" s="62">
        <v>58.240519915187235</v>
      </c>
      <c r="J34" s="62">
        <v>735</v>
      </c>
      <c r="K34" s="62">
        <v>54.671747731346578</v>
      </c>
      <c r="L34" s="62">
        <v>48.259714048054619</v>
      </c>
      <c r="M34" s="62">
        <v>15.811388300841896</v>
      </c>
      <c r="N34" s="62">
        <v>118.74285008024309</v>
      </c>
    </row>
    <row r="35" spans="1:14" x14ac:dyDescent="0.25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62">
        <v>41.421988593552385</v>
      </c>
      <c r="H35" s="62">
        <v>52.136456504046564</v>
      </c>
      <c r="I35" s="62">
        <v>86.441554902400895</v>
      </c>
      <c r="J35" s="62">
        <v>15951.999999999984</v>
      </c>
      <c r="K35" s="62">
        <v>115.73245007343446</v>
      </c>
      <c r="L35" s="62">
        <v>174.59095051004218</v>
      </c>
      <c r="M35" s="62">
        <v>138.10141201305655</v>
      </c>
      <c r="N35" s="62">
        <v>428.42481259653323</v>
      </c>
    </row>
    <row r="36" spans="1:14" x14ac:dyDescent="0.25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62">
        <v>81.025955199067425</v>
      </c>
      <c r="H36" s="62">
        <v>50.28997732329271</v>
      </c>
      <c r="I36" s="62">
        <v>48.68406747763985</v>
      </c>
      <c r="J36" s="62">
        <v>16596.999999999996</v>
      </c>
      <c r="K36" s="62">
        <v>168.44286865284622</v>
      </c>
      <c r="L36" s="62">
        <v>128.08200498118384</v>
      </c>
      <c r="M36" s="62">
        <v>131.18688958886096</v>
      </c>
      <c r="N36" s="62">
        <v>427.71176322289102</v>
      </c>
    </row>
    <row r="37" spans="1:14" x14ac:dyDescent="0.25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62">
        <v>24.024006362844364</v>
      </c>
      <c r="H37" s="62">
        <v>23.11707510695793</v>
      </c>
      <c r="I37" s="62">
        <v>132.85891853019774</v>
      </c>
      <c r="J37" s="62">
        <v>3080.0000000000023</v>
      </c>
      <c r="K37" s="62">
        <v>66.007575322836999</v>
      </c>
      <c r="L37" s="62">
        <v>118.84864324004712</v>
      </c>
      <c r="M37" s="62">
        <v>63.655321851358195</v>
      </c>
      <c r="N37" s="62">
        <v>248.51154041424232</v>
      </c>
    </row>
    <row r="38" spans="1:14" x14ac:dyDescent="0.25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62">
        <v>154.45178531198459</v>
      </c>
      <c r="H38" s="62">
        <v>11.119915313473882</v>
      </c>
      <c r="I38" s="62">
        <v>14.428299374541314</v>
      </c>
      <c r="J38" s="62">
        <v>4618.9999999999727</v>
      </c>
      <c r="K38" s="62">
        <v>203.60009823180343</v>
      </c>
      <c r="L38" s="62">
        <v>117.63077828527702</v>
      </c>
      <c r="M38" s="62">
        <v>91.049437120720299</v>
      </c>
      <c r="N38" s="62">
        <v>412.28031363780076</v>
      </c>
    </row>
    <row r="39" spans="1:14" x14ac:dyDescent="0.25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62">
        <v>22.971813832400485</v>
      </c>
      <c r="H39" s="62">
        <v>17.487499787306099</v>
      </c>
      <c r="I39" s="62">
        <v>139.54068638029335</v>
      </c>
      <c r="J39" s="62">
        <v>5425.0000000000045</v>
      </c>
      <c r="K39" s="62">
        <v>104.20172743289815</v>
      </c>
      <c r="L39" s="62">
        <v>173.25414857947845</v>
      </c>
      <c r="M39" s="62">
        <v>80.230916734136841</v>
      </c>
      <c r="N39" s="62">
        <v>357.68679274651345</v>
      </c>
    </row>
    <row r="40" spans="1:14" x14ac:dyDescent="0.25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62">
        <v>45.451451529508851</v>
      </c>
      <c r="H40" s="62">
        <v>73.609849578230609</v>
      </c>
      <c r="I40" s="62">
        <v>60.938698892260618</v>
      </c>
      <c r="J40" s="62">
        <v>10169</v>
      </c>
      <c r="K40" s="62">
        <v>92.962357973536797</v>
      </c>
      <c r="L40" s="62">
        <v>114.02192771568107</v>
      </c>
      <c r="M40" s="62">
        <v>125.14391715141412</v>
      </c>
      <c r="N40" s="62">
        <v>332.12820284063196</v>
      </c>
    </row>
    <row r="41" spans="1:14" x14ac:dyDescent="0.25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62">
        <v>54.621801760071435</v>
      </c>
      <c r="H41" s="62">
        <v>42.389639943385731</v>
      </c>
      <c r="I41" s="62">
        <v>82.988558296542735</v>
      </c>
      <c r="J41" s="62">
        <v>13041.999999999989</v>
      </c>
      <c r="K41" s="62">
        <v>126.0634760745554</v>
      </c>
      <c r="L41" s="62">
        <v>153.45683432157722</v>
      </c>
      <c r="M41" s="62">
        <v>104.23531071570709</v>
      </c>
      <c r="N41" s="62">
        <v>383.75562111183973</v>
      </c>
    </row>
    <row r="42" spans="1:14" x14ac:dyDescent="0.25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62">
        <v>94.59488568615626</v>
      </c>
      <c r="H42" s="62">
        <v>43.433492313112744</v>
      </c>
      <c r="I42" s="62">
        <v>41.971622000730875</v>
      </c>
      <c r="J42" s="62">
        <v>8037.9999999999945</v>
      </c>
      <c r="K42" s="62">
        <v>132.0075755401939</v>
      </c>
      <c r="L42" s="62">
        <v>88.566359301938121</v>
      </c>
      <c r="M42" s="62">
        <v>91.049437120720299</v>
      </c>
      <c r="N42" s="62">
        <v>311.62337196285233</v>
      </c>
    </row>
    <row r="43" spans="1:14" x14ac:dyDescent="0.25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62">
        <v>36.100024762914678</v>
      </c>
      <c r="H43" s="62">
        <v>65.74144875907767</v>
      </c>
      <c r="I43" s="62">
        <v>78.158526478007559</v>
      </c>
      <c r="J43" s="62">
        <v>14689.999999999998</v>
      </c>
      <c r="K43" s="62">
        <v>98.488578017961046</v>
      </c>
      <c r="L43" s="62">
        <v>163.60012224934309</v>
      </c>
      <c r="M43" s="62">
        <v>152.3975065412817</v>
      </c>
      <c r="N43" s="62">
        <v>414.48620680858585</v>
      </c>
    </row>
    <row r="44" spans="1:14" x14ac:dyDescent="0.25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62">
        <v>18.663066182327583</v>
      </c>
      <c r="H44" s="62">
        <v>14.317931363127959</v>
      </c>
      <c r="I44" s="62">
        <v>147.01900245454448</v>
      </c>
      <c r="J44" s="62">
        <v>305.00000000000034</v>
      </c>
      <c r="K44" s="62">
        <v>26.92582403567252</v>
      </c>
      <c r="L44" s="62">
        <v>45.803929962395145</v>
      </c>
      <c r="M44" s="62">
        <v>20.808652046684813</v>
      </c>
      <c r="N44" s="62">
        <v>93.538406044752477</v>
      </c>
    </row>
    <row r="45" spans="1:14" x14ac:dyDescent="0.25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62">
        <v>121.03174990938801</v>
      </c>
      <c r="H45" s="62">
        <v>43.135561368081746</v>
      </c>
      <c r="I45" s="62">
        <v>15.832688722530373</v>
      </c>
      <c r="J45" s="62">
        <v>1486</v>
      </c>
      <c r="K45" s="62">
        <v>82.619610262939389</v>
      </c>
      <c r="L45" s="62">
        <v>26.305892875931811</v>
      </c>
      <c r="M45" s="62">
        <v>65.924198895398035</v>
      </c>
      <c r="N45" s="62">
        <v>174.84970203426923</v>
      </c>
    </row>
    <row r="46" spans="1:14" x14ac:dyDescent="0.25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62">
        <v>36.641173194118814</v>
      </c>
      <c r="H46" s="62">
        <v>85.601294645004444</v>
      </c>
      <c r="I46" s="62">
        <v>57.757532160876664</v>
      </c>
      <c r="J46" s="62">
        <v>1495</v>
      </c>
      <c r="K46" s="62">
        <v>32.526911934581186</v>
      </c>
      <c r="L46" s="62">
        <v>46.097722286464439</v>
      </c>
      <c r="M46" s="62">
        <v>54.341512676774101</v>
      </c>
      <c r="N46" s="62">
        <v>132.96614689781973</v>
      </c>
    </row>
    <row r="47" spans="1:14" x14ac:dyDescent="0.25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62">
        <v>4.4295592989764563</v>
      </c>
      <c r="H47" s="62">
        <v>0.33408239174132559</v>
      </c>
      <c r="I47" s="62">
        <v>175.23635830927086</v>
      </c>
      <c r="J47" s="62">
        <v>109.9999999976245</v>
      </c>
      <c r="K47" s="62">
        <v>132.45754036671525</v>
      </c>
      <c r="L47" s="62">
        <v>142.42541907960108</v>
      </c>
      <c r="M47" s="62">
        <v>10</v>
      </c>
      <c r="N47" s="62">
        <v>284.88295944631636</v>
      </c>
    </row>
    <row r="48" spans="1:14" x14ac:dyDescent="0.25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62">
        <v>109.62689472182669</v>
      </c>
      <c r="H48" s="62">
        <v>49.904040854794317</v>
      </c>
      <c r="I48" s="62">
        <v>20.469064423379042</v>
      </c>
      <c r="J48" s="62">
        <v>11054.000000000002</v>
      </c>
      <c r="K48" s="62">
        <v>197.28405916343064</v>
      </c>
      <c r="L48" s="62">
        <v>73.246160308919954</v>
      </c>
      <c r="M48" s="62">
        <v>160.22484201895784</v>
      </c>
      <c r="N48" s="62">
        <v>430.75506149130842</v>
      </c>
    </row>
    <row r="49" spans="1:14" x14ac:dyDescent="0.25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62">
        <v>60.812823490340165</v>
      </c>
      <c r="H49" s="62">
        <v>63.257305640106772</v>
      </c>
      <c r="I49" s="62">
        <v>55.929870869553042</v>
      </c>
      <c r="J49" s="62">
        <v>30270.999999999996</v>
      </c>
      <c r="K49" s="62">
        <v>189.01058171435798</v>
      </c>
      <c r="L49" s="62">
        <v>179.33767033169579</v>
      </c>
      <c r="M49" s="62">
        <v>193.34166648707671</v>
      </c>
      <c r="N49" s="62">
        <v>561.68991853313048</v>
      </c>
    </row>
    <row r="50" spans="1:14" x14ac:dyDescent="0.25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62">
        <v>0.9191047837006201</v>
      </c>
      <c r="H50" s="62">
        <v>179.01788283675256</v>
      </c>
      <c r="I50" s="62">
        <v>6.3012379465895552E-2</v>
      </c>
      <c r="J50" s="62">
        <v>18.000000000426038</v>
      </c>
      <c r="K50" s="62">
        <v>123.76186811776881</v>
      </c>
      <c r="L50" s="62">
        <v>8.4852813742385695</v>
      </c>
      <c r="M50" s="62">
        <v>132.24598292575845</v>
      </c>
      <c r="N50" s="62">
        <v>264.49313241776588</v>
      </c>
    </row>
    <row r="51" spans="1:14" x14ac:dyDescent="0.25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62">
        <v>56.221987380251882</v>
      </c>
      <c r="H51" s="62">
        <v>53.860518629400701</v>
      </c>
      <c r="I51" s="62">
        <v>69.917493990347438</v>
      </c>
      <c r="J51" s="62">
        <v>26734</v>
      </c>
      <c r="K51" s="62">
        <v>171.16366436834659</v>
      </c>
      <c r="L51" s="62">
        <v>193.40372281835735</v>
      </c>
      <c r="M51" s="62">
        <v>166.30093204789924</v>
      </c>
      <c r="N51" s="62">
        <v>530.86831923460318</v>
      </c>
    </row>
    <row r="52" spans="1:14" x14ac:dyDescent="0.25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62">
        <v>17.612878631460053</v>
      </c>
      <c r="H52" s="62">
        <v>132.59364658871519</v>
      </c>
      <c r="I52" s="62">
        <v>29.793474779824834</v>
      </c>
      <c r="J52" s="62">
        <v>10464.000000000004</v>
      </c>
      <c r="K52" s="62">
        <v>93.037626796904064</v>
      </c>
      <c r="L52" s="62">
        <v>152.77761616153069</v>
      </c>
      <c r="M52" s="62">
        <v>226.35591443565153</v>
      </c>
      <c r="N52" s="62">
        <v>472.17115739408626</v>
      </c>
    </row>
    <row r="53" spans="1:14" x14ac:dyDescent="0.25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62">
        <v>36.385402761013445</v>
      </c>
      <c r="H53" s="62">
        <v>36.320110148679568</v>
      </c>
      <c r="I53" s="62">
        <v>107.2944870903069</v>
      </c>
      <c r="J53" s="62">
        <v>12332.999999999985</v>
      </c>
      <c r="K53" s="62">
        <v>113.74093370462545</v>
      </c>
      <c r="L53" s="62">
        <v>183.06829326784035</v>
      </c>
      <c r="M53" s="62">
        <v>113.5649593844862</v>
      </c>
      <c r="N53" s="62">
        <v>410.37418635695201</v>
      </c>
    </row>
    <row r="54" spans="1:14" x14ac:dyDescent="0.25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62">
        <v>157.73454980094627</v>
      </c>
      <c r="H54" s="62">
        <v>10.094824814274565</v>
      </c>
      <c r="I54" s="62">
        <v>12.170625384779749</v>
      </c>
      <c r="J54" s="62">
        <v>2780.0000000000773</v>
      </c>
      <c r="K54" s="62">
        <v>168.83423823383691</v>
      </c>
      <c r="L54" s="62">
        <v>93.941471140279674</v>
      </c>
      <c r="M54" s="62">
        <v>78.10249675906654</v>
      </c>
      <c r="N54" s="62">
        <v>340.87820613318308</v>
      </c>
    </row>
    <row r="55" spans="1:14" x14ac:dyDescent="0.25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62">
        <v>48.094799011702236</v>
      </c>
      <c r="H55" s="62">
        <v>84.202900320440932</v>
      </c>
      <c r="I55" s="62">
        <v>47.702300667856733</v>
      </c>
      <c r="J55" s="62">
        <v>13179.000000000002</v>
      </c>
      <c r="K55" s="62">
        <v>115.45128842936315</v>
      </c>
      <c r="L55" s="62">
        <v>114.73883387938018</v>
      </c>
      <c r="M55" s="62">
        <v>154.33081351434652</v>
      </c>
      <c r="N55" s="62">
        <v>384.52093582308987</v>
      </c>
    </row>
    <row r="56" spans="1:14" x14ac:dyDescent="0.25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62">
        <v>86.566369637549457</v>
      </c>
      <c r="H56" s="62">
        <v>54.246112745563217</v>
      </c>
      <c r="I56" s="62">
        <v>39.187517616887241</v>
      </c>
      <c r="J56" s="62">
        <v>3899.9999999999977</v>
      </c>
      <c r="K56" s="62">
        <v>87.13208364316786</v>
      </c>
      <c r="L56" s="62">
        <v>55.154328932550705</v>
      </c>
      <c r="M56" s="62">
        <v>70.837842993699354</v>
      </c>
      <c r="N56" s="62">
        <v>213.12425556941793</v>
      </c>
    </row>
    <row r="57" spans="1:14" x14ac:dyDescent="0.25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62">
        <v>80.132643624315108</v>
      </c>
      <c r="H57" s="62">
        <v>42.660481920146793</v>
      </c>
      <c r="I57" s="62">
        <v>57.206874455538134</v>
      </c>
      <c r="J57" s="62">
        <v>28090.000000000011</v>
      </c>
      <c r="K57" s="62">
        <v>220.41097976280582</v>
      </c>
      <c r="L57" s="62">
        <v>188.06647760831805</v>
      </c>
      <c r="M57" s="62">
        <v>151.6047492659778</v>
      </c>
      <c r="N57" s="62">
        <v>560.08220663710165</v>
      </c>
    </row>
    <row r="58" spans="1:14" x14ac:dyDescent="0.25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62">
        <v>54.950626687951662</v>
      </c>
      <c r="H58" s="62">
        <v>19.330122533133142</v>
      </c>
      <c r="I58" s="62">
        <v>105.71925077891532</v>
      </c>
      <c r="J58" s="62">
        <v>2345.0000000000064</v>
      </c>
      <c r="K58" s="62">
        <v>77.620873481300123</v>
      </c>
      <c r="L58" s="62">
        <v>91.268833672837076</v>
      </c>
      <c r="M58" s="62">
        <v>31.384709652950431</v>
      </c>
      <c r="N58" s="62">
        <v>200.27441680708762</v>
      </c>
    </row>
    <row r="59" spans="1:14" x14ac:dyDescent="0.25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62">
        <v>11.309932474020323</v>
      </c>
      <c r="H59" s="62">
        <v>9.4623222080257747</v>
      </c>
      <c r="I59" s="62">
        <v>159.22774531795415</v>
      </c>
      <c r="J59" s="62">
        <v>814.00000000001342</v>
      </c>
      <c r="K59" s="62">
        <v>52.32590180780452</v>
      </c>
      <c r="L59" s="62">
        <v>94.62557793746889</v>
      </c>
      <c r="M59" s="62">
        <v>43.863424398922618</v>
      </c>
      <c r="N59" s="62">
        <v>190.81490414419602</v>
      </c>
    </row>
    <row r="60" spans="1:14" x14ac:dyDescent="0.25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62">
        <v>31.401553600099056</v>
      </c>
      <c r="H60" s="62">
        <v>73.177761561551222</v>
      </c>
      <c r="I60" s="62">
        <v>75.420684838349729</v>
      </c>
      <c r="J60" s="62">
        <v>17682.000000000004</v>
      </c>
      <c r="K60" s="62">
        <v>99.724620831567975</v>
      </c>
      <c r="L60" s="62">
        <v>185.23498589629335</v>
      </c>
      <c r="M60" s="62">
        <v>183.20753259623362</v>
      </c>
      <c r="N60" s="62">
        <v>468.16713932409493</v>
      </c>
    </row>
    <row r="61" spans="1:14" x14ac:dyDescent="0.25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62">
        <v>10.411363326221819</v>
      </c>
      <c r="H61" s="62">
        <v>61.870537002532366</v>
      </c>
      <c r="I61" s="62">
        <v>107.71809967124577</v>
      </c>
      <c r="J61" s="62">
        <v>1877.9999999999993</v>
      </c>
      <c r="K61" s="62">
        <v>20.09975124224178</v>
      </c>
      <c r="L61" s="62">
        <v>105.94810050208545</v>
      </c>
      <c r="M61" s="62">
        <v>98.086696345630884</v>
      </c>
      <c r="N61" s="62">
        <v>224.13454808995812</v>
      </c>
    </row>
    <row r="62" spans="1:14" x14ac:dyDescent="0.25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62">
        <v>70.559965171823848</v>
      </c>
      <c r="H62" s="62">
        <v>76.75948008481285</v>
      </c>
      <c r="I62" s="62">
        <v>32.680554743363416</v>
      </c>
      <c r="J62" s="62">
        <v>7072.0000000000009</v>
      </c>
      <c r="K62" s="62">
        <v>112.64102272262978</v>
      </c>
      <c r="L62" s="62">
        <v>64.498061986388393</v>
      </c>
      <c r="M62" s="62">
        <v>116.27553482998907</v>
      </c>
      <c r="N62" s="62">
        <v>293.41461953900722</v>
      </c>
    </row>
    <row r="63" spans="1:14" x14ac:dyDescent="0.25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62">
        <v>64.266469242399154</v>
      </c>
      <c r="H63" s="62">
        <v>58.577113771877904</v>
      </c>
      <c r="I63" s="62">
        <v>57.156416985722885</v>
      </c>
      <c r="J63" s="62">
        <v>11103.999999999998</v>
      </c>
      <c r="K63" s="62">
        <v>118.1185844818672</v>
      </c>
      <c r="L63" s="62">
        <v>110.16351483136329</v>
      </c>
      <c r="M63" s="62">
        <v>111.89280584559492</v>
      </c>
      <c r="N63" s="62">
        <v>340.17490515882542</v>
      </c>
    </row>
    <row r="64" spans="1:14" x14ac:dyDescent="0.25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62">
        <v>60.860884891891054</v>
      </c>
      <c r="H64" s="62">
        <v>61.527058958428178</v>
      </c>
      <c r="I64" s="62">
        <v>57.612056149680683</v>
      </c>
      <c r="J64" s="62">
        <v>1782.9999999999991</v>
      </c>
      <c r="K64" s="62">
        <v>45.803929962395145</v>
      </c>
      <c r="L64" s="62">
        <v>44.283179650969061</v>
      </c>
      <c r="M64" s="62">
        <v>46.097722286464439</v>
      </c>
      <c r="N64" s="62">
        <v>136.18483189982865</v>
      </c>
    </row>
    <row r="65" spans="1:14" x14ac:dyDescent="0.25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62">
        <v>12.528807709151433</v>
      </c>
      <c r="H65" s="62">
        <v>149.03624346792643</v>
      </c>
      <c r="I65" s="62">
        <v>18.434948822922006</v>
      </c>
      <c r="J65" s="62">
        <v>3510.0000000000059</v>
      </c>
      <c r="K65" s="62">
        <v>68.410525505948286</v>
      </c>
      <c r="L65" s="62">
        <v>99.724620831567975</v>
      </c>
      <c r="M65" s="62">
        <v>162.24980739587951</v>
      </c>
      <c r="N65" s="62">
        <v>330.38495373339578</v>
      </c>
    </row>
    <row r="66" spans="1:14" x14ac:dyDescent="0.25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62">
        <v>107.74133877267688</v>
      </c>
      <c r="H66" s="62">
        <v>36.881710396589966</v>
      </c>
      <c r="I66" s="62">
        <v>35.376950830733215</v>
      </c>
      <c r="J66" s="62">
        <v>8733.0000000000073</v>
      </c>
      <c r="K66" s="62">
        <v>154.719100307622</v>
      </c>
      <c r="L66" s="62">
        <v>94.047860156411858</v>
      </c>
      <c r="M66" s="62">
        <v>97.49358953285082</v>
      </c>
      <c r="N66" s="62">
        <v>346.26054999688466</v>
      </c>
    </row>
    <row r="67" spans="1:14" x14ac:dyDescent="0.25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62">
        <v>12.769085970665559</v>
      </c>
      <c r="H67" s="62">
        <v>163.40048466948576</v>
      </c>
      <c r="I67" s="62">
        <v>3.8304293598483969</v>
      </c>
      <c r="J67" s="62">
        <v>3207.0000000000036</v>
      </c>
      <c r="K67" s="62">
        <v>192.7200041511</v>
      </c>
      <c r="L67" s="62">
        <v>58.249463516842795</v>
      </c>
      <c r="M67" s="62">
        <v>249.09837414162303</v>
      </c>
      <c r="N67" s="62">
        <v>500.06784180956583</v>
      </c>
    </row>
    <row r="68" spans="1:14" x14ac:dyDescent="0.25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62">
        <v>5.7542379384965336</v>
      </c>
      <c r="H68" s="62">
        <v>88.518542829113017</v>
      </c>
      <c r="I68" s="62">
        <v>85.727219232390709</v>
      </c>
      <c r="J68" s="62">
        <v>2436</v>
      </c>
      <c r="K68" s="62">
        <v>15.652475842498529</v>
      </c>
      <c r="L68" s="62">
        <v>155.68236894394946</v>
      </c>
      <c r="M68" s="62">
        <v>156.06408939919524</v>
      </c>
      <c r="N68" s="62">
        <v>327.39893418564321</v>
      </c>
    </row>
    <row r="69" spans="1:14" x14ac:dyDescent="0.25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62">
        <v>33.589816359453728</v>
      </c>
      <c r="H69" s="62">
        <v>80.100629977293323</v>
      </c>
      <c r="I69" s="62">
        <v>66.309553663252871</v>
      </c>
      <c r="J69" s="62">
        <v>2016.9999999999998</v>
      </c>
      <c r="K69" s="62">
        <v>35.171010790137949</v>
      </c>
      <c r="L69" s="62">
        <v>58.215118311311535</v>
      </c>
      <c r="M69" s="62">
        <v>62.625873247404705</v>
      </c>
      <c r="N69" s="62">
        <v>156.0120023488542</v>
      </c>
    </row>
    <row r="70" spans="1:14" x14ac:dyDescent="0.25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62">
        <v>139.76364169072627</v>
      </c>
      <c r="H70" s="62">
        <v>33.47276472650438</v>
      </c>
      <c r="I70" s="62">
        <v>6.7635935827698495</v>
      </c>
      <c r="J70" s="62">
        <v>1936.0000000000064</v>
      </c>
      <c r="K70" s="62">
        <v>138.75157656761959</v>
      </c>
      <c r="L70" s="62">
        <v>25.298221281347036</v>
      </c>
      <c r="M70" s="62">
        <v>118.47362575695909</v>
      </c>
      <c r="N70" s="62">
        <v>282.5234236059257</v>
      </c>
    </row>
    <row r="71" spans="1:14" x14ac:dyDescent="0.25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62">
        <v>34.22842174076775</v>
      </c>
      <c r="H71" s="62">
        <v>34.618538521663055</v>
      </c>
      <c r="I71" s="62">
        <v>111.1530397375692</v>
      </c>
      <c r="J71" s="62">
        <v>3520.0000000000005</v>
      </c>
      <c r="K71" s="62">
        <v>61.1310068623117</v>
      </c>
      <c r="L71" s="62">
        <v>101.35580891098448</v>
      </c>
      <c r="M71" s="62">
        <v>61.741396161732524</v>
      </c>
      <c r="N71" s="62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11" sqref="D11"/>
    </sheetView>
  </sheetViews>
  <sheetFormatPr defaultColWidth="9.109375" defaultRowHeight="13.2" x14ac:dyDescent="0.25"/>
  <cols>
    <col min="1" max="1" width="21.109375" style="20" customWidth="1"/>
    <col min="2" max="2" width="15.6640625" style="28" customWidth="1"/>
    <col min="3" max="3" width="14.5546875" style="28" customWidth="1"/>
    <col min="4" max="4" width="23.109375" style="23" customWidth="1"/>
    <col min="5" max="10" width="9.109375" style="20"/>
    <col min="11" max="11" width="9.109375" style="38"/>
    <col min="12" max="16384" width="9.109375" style="20"/>
  </cols>
  <sheetData>
    <row r="1" spans="1:17" ht="55.5" customHeight="1" x14ac:dyDescent="0.25">
      <c r="A1" s="19"/>
      <c r="B1" s="29" t="s">
        <v>99</v>
      </c>
      <c r="C1" s="29" t="s">
        <v>100</v>
      </c>
      <c r="D1" s="25" t="s">
        <v>98</v>
      </c>
      <c r="F1" s="74"/>
      <c r="G1" s="74"/>
      <c r="H1" s="74"/>
      <c r="I1" s="74"/>
      <c r="J1" s="74"/>
      <c r="K1" s="41"/>
      <c r="M1" s="40"/>
      <c r="N1" s="40"/>
      <c r="O1" s="40"/>
      <c r="P1" s="40"/>
    </row>
    <row r="2" spans="1:17" ht="13.2" customHeight="1" x14ac:dyDescent="0.25">
      <c r="A2" s="19" t="s">
        <v>61</v>
      </c>
      <c r="B2" s="26">
        <v>2</v>
      </c>
      <c r="C2" s="27">
        <v>0</v>
      </c>
      <c r="D2" s="18">
        <f>(B2*cenas!J2)*(1-C2)</f>
        <v>50</v>
      </c>
      <c r="L2" s="70" t="s">
        <v>3909</v>
      </c>
      <c r="M2" s="70"/>
      <c r="N2" s="70"/>
      <c r="O2" s="70"/>
      <c r="P2" s="70"/>
    </row>
    <row r="3" spans="1:17" ht="13.2" customHeight="1" x14ac:dyDescent="0.25">
      <c r="A3" s="19" t="s">
        <v>62</v>
      </c>
      <c r="B3" s="26">
        <v>1</v>
      </c>
      <c r="C3" s="27">
        <v>3.5000000000000003E-2</v>
      </c>
      <c r="D3" s="18">
        <f>(B3*cenas!J3)*(1-C3)</f>
        <v>48.25</v>
      </c>
      <c r="K3" s="38">
        <v>22</v>
      </c>
      <c r="L3" s="70"/>
      <c r="M3" s="70"/>
      <c r="N3" s="70"/>
      <c r="O3" s="70"/>
      <c r="P3" s="70"/>
      <c r="Q3" s="20" t="s">
        <v>3884</v>
      </c>
    </row>
    <row r="4" spans="1:17" ht="13.2" customHeight="1" x14ac:dyDescent="0.25">
      <c r="A4" s="19" t="s">
        <v>63</v>
      </c>
      <c r="B4" s="26">
        <v>2</v>
      </c>
      <c r="C4" s="27">
        <v>0.03</v>
      </c>
      <c r="D4" s="18">
        <f>(B4*cenas!J4)*(1-C4)</f>
        <v>261.89999999999998</v>
      </c>
      <c r="L4" s="70"/>
      <c r="M4" s="70"/>
      <c r="N4" s="70"/>
      <c r="O4" s="70"/>
      <c r="P4" s="70"/>
    </row>
    <row r="5" spans="1:17" x14ac:dyDescent="0.25">
      <c r="A5" s="19" t="s">
        <v>64</v>
      </c>
      <c r="B5" s="26">
        <v>2</v>
      </c>
      <c r="C5" s="27">
        <v>2.5000000000000001E-2</v>
      </c>
      <c r="D5" s="18">
        <f>(B5*cenas!J5)*(1-C5)</f>
        <v>136.5</v>
      </c>
      <c r="L5" s="70"/>
      <c r="M5" s="70"/>
      <c r="N5" s="70"/>
      <c r="O5" s="70"/>
      <c r="P5" s="70"/>
    </row>
    <row r="6" spans="1:17" ht="13.95" customHeight="1" x14ac:dyDescent="0.25">
      <c r="A6" s="19" t="s">
        <v>65</v>
      </c>
      <c r="B6" s="26">
        <v>2</v>
      </c>
      <c r="C6" s="27">
        <v>5.0000000000000001E-3</v>
      </c>
      <c r="D6" s="18">
        <f>(B6*cenas!J6)*(1-C6)</f>
        <v>139.30000000000001</v>
      </c>
      <c r="L6" s="70"/>
      <c r="M6" s="70"/>
      <c r="N6" s="70"/>
      <c r="O6" s="70"/>
      <c r="P6" s="70"/>
    </row>
    <row r="7" spans="1:17" x14ac:dyDescent="0.25">
      <c r="A7" s="19" t="s">
        <v>66</v>
      </c>
      <c r="B7" s="26">
        <v>2</v>
      </c>
      <c r="C7" s="27">
        <v>5.0000000000000001E-3</v>
      </c>
      <c r="D7" s="18">
        <f>(B7*cenas!J7)*(1-C7)</f>
        <v>119.4</v>
      </c>
    </row>
    <row r="8" spans="1:17" x14ac:dyDescent="0.25">
      <c r="A8" s="19" t="s">
        <v>67</v>
      </c>
      <c r="B8" s="26">
        <v>1</v>
      </c>
      <c r="C8" s="27">
        <v>0.01</v>
      </c>
      <c r="D8" s="18">
        <f>(B8*cenas!J8)*(1-C8)</f>
        <v>34.65</v>
      </c>
      <c r="K8" s="38">
        <v>23</v>
      </c>
      <c r="L8" s="70" t="s">
        <v>3908</v>
      </c>
      <c r="M8" s="70"/>
      <c r="N8" s="70"/>
      <c r="O8" s="70"/>
      <c r="P8" s="70"/>
      <c r="Q8" s="20" t="s">
        <v>3885</v>
      </c>
    </row>
    <row r="9" spans="1:17" x14ac:dyDescent="0.25">
      <c r="A9" s="19" t="s">
        <v>68</v>
      </c>
      <c r="B9" s="26">
        <v>1</v>
      </c>
      <c r="C9" s="27">
        <v>0.01</v>
      </c>
      <c r="D9" s="18">
        <f>(B9*cenas!J9)*(1-C9)</f>
        <v>52.47</v>
      </c>
      <c r="L9" s="70"/>
      <c r="M9" s="70"/>
      <c r="N9" s="70"/>
      <c r="O9" s="70"/>
      <c r="P9" s="70"/>
    </row>
    <row r="10" spans="1:17" x14ac:dyDescent="0.25">
      <c r="A10" s="19" t="s">
        <v>69</v>
      </c>
      <c r="B10" s="26">
        <v>1</v>
      </c>
      <c r="C10" s="27">
        <v>1.4999999999999999E-2</v>
      </c>
      <c r="D10" s="18">
        <f>(B10*cenas!J10)*(1-C10)</f>
        <v>15.76</v>
      </c>
    </row>
    <row r="11" spans="1:17" x14ac:dyDescent="0.25">
      <c r="A11" s="19" t="s">
        <v>70</v>
      </c>
      <c r="B11" s="26">
        <v>1</v>
      </c>
      <c r="C11" s="27">
        <v>0.03</v>
      </c>
      <c r="D11" s="18">
        <f>(B11*cenas!J11)*(1-C11)</f>
        <v>33.949999999999996</v>
      </c>
    </row>
    <row r="12" spans="1:17" x14ac:dyDescent="0.25">
      <c r="A12" s="19" t="s">
        <v>71</v>
      </c>
      <c r="B12" s="26">
        <v>1</v>
      </c>
      <c r="C12" s="27">
        <v>0.02</v>
      </c>
      <c r="D12" s="18">
        <f>(B12*cenas!J12)*(1-C12)</f>
        <v>49</v>
      </c>
    </row>
    <row r="13" spans="1:17" x14ac:dyDescent="0.25">
      <c r="A13" s="19" t="s">
        <v>72</v>
      </c>
      <c r="B13" s="26">
        <v>2</v>
      </c>
      <c r="C13" s="27">
        <v>2.5000000000000001E-2</v>
      </c>
      <c r="D13" s="18">
        <f>(B13*cenas!J13)*(1-C13)</f>
        <v>253.5</v>
      </c>
    </row>
    <row r="14" spans="1:17" x14ac:dyDescent="0.25">
      <c r="A14" s="19" t="s">
        <v>73</v>
      </c>
      <c r="B14" s="26">
        <v>1</v>
      </c>
      <c r="C14" s="27">
        <v>0.02</v>
      </c>
      <c r="D14" s="18">
        <f>(B14*cenas!J14)*(1-C14)</f>
        <v>313.60000000000002</v>
      </c>
    </row>
    <row r="15" spans="1:17" x14ac:dyDescent="0.25">
      <c r="A15" s="19" t="s">
        <v>74</v>
      </c>
      <c r="B15" s="26">
        <v>60</v>
      </c>
      <c r="C15" s="27">
        <v>0.03</v>
      </c>
      <c r="D15" s="18">
        <f>(B15*cenas!J15)*(1-C15)</f>
        <v>3492</v>
      </c>
    </row>
    <row r="16" spans="1:17" x14ac:dyDescent="0.25">
      <c r="A16" s="19" t="s">
        <v>75</v>
      </c>
      <c r="B16" s="26">
        <v>1</v>
      </c>
      <c r="C16" s="27">
        <v>2.5000000000000001E-2</v>
      </c>
      <c r="D16" s="18">
        <f>(B16*cenas!J16)*(1-C16)</f>
        <v>58.5</v>
      </c>
    </row>
    <row r="17" spans="1:4" x14ac:dyDescent="0.25">
      <c r="A17" s="19" t="s">
        <v>76</v>
      </c>
      <c r="B17" s="26">
        <v>1</v>
      </c>
      <c r="C17" s="27">
        <v>1.4999999999999999E-2</v>
      </c>
      <c r="D17" s="18">
        <f>(B17*cenas!J17)*(1-C17)</f>
        <v>23.64</v>
      </c>
    </row>
    <row r="18" spans="1:4" x14ac:dyDescent="0.25">
      <c r="A18" s="19" t="s">
        <v>77</v>
      </c>
      <c r="B18" s="26">
        <v>1</v>
      </c>
      <c r="C18" s="27">
        <v>4.4999999999999998E-2</v>
      </c>
      <c r="D18" s="18">
        <f>(B18*cenas!J18)*(1-C18)</f>
        <v>238.75</v>
      </c>
    </row>
    <row r="19" spans="1:4" x14ac:dyDescent="0.25">
      <c r="A19" s="19" t="s">
        <v>78</v>
      </c>
      <c r="B19" s="26">
        <v>1</v>
      </c>
      <c r="C19" s="27">
        <v>4.4999999999999998E-2</v>
      </c>
      <c r="D19" s="18">
        <f>(B19*cenas!J19)*(1-C19)</f>
        <v>13.37</v>
      </c>
    </row>
    <row r="20" spans="1:4" x14ac:dyDescent="0.25">
      <c r="A20" s="19" t="s">
        <v>79</v>
      </c>
      <c r="B20" s="26">
        <v>1</v>
      </c>
      <c r="C20" s="27">
        <v>2.5000000000000001E-2</v>
      </c>
      <c r="D20" s="18">
        <f>(B20*cenas!J20)*(1-C20)</f>
        <v>39</v>
      </c>
    </row>
    <row r="21" spans="1:4" x14ac:dyDescent="0.25">
      <c r="A21" s="19" t="s">
        <v>80</v>
      </c>
      <c r="B21" s="26"/>
      <c r="C21" s="27">
        <v>1.4999999999999999E-2</v>
      </c>
      <c r="D21" s="18">
        <f>(B21*cenas!J21)*(1-C21)</f>
        <v>0</v>
      </c>
    </row>
    <row r="22" spans="1:4" x14ac:dyDescent="0.25">
      <c r="A22" s="19" t="s">
        <v>81</v>
      </c>
      <c r="B22" s="26"/>
      <c r="C22" s="27">
        <v>0.05</v>
      </c>
      <c r="D22" s="18">
        <f>(B22*cenas!J22)*(1-C22)</f>
        <v>0</v>
      </c>
    </row>
    <row r="23" spans="1:4" x14ac:dyDescent="0.25">
      <c r="A23" s="19" t="s">
        <v>82</v>
      </c>
      <c r="B23" s="26">
        <v>2</v>
      </c>
      <c r="C23" s="27">
        <v>0.04</v>
      </c>
      <c r="D23" s="18">
        <f>(B23*cenas!J23)*(1-C23)</f>
        <v>76.8</v>
      </c>
    </row>
    <row r="24" spans="1:4" x14ac:dyDescent="0.25">
      <c r="A24" s="19" t="s">
        <v>83</v>
      </c>
      <c r="B24" s="26">
        <v>2</v>
      </c>
      <c r="C24" s="27">
        <v>0.01</v>
      </c>
      <c r="D24" s="18">
        <f>(B24*cenas!J24)*(1-C24)</f>
        <v>158.4</v>
      </c>
    </row>
    <row r="25" spans="1:4" x14ac:dyDescent="0.25">
      <c r="A25" s="19" t="s">
        <v>84</v>
      </c>
      <c r="B25" s="26">
        <v>2</v>
      </c>
      <c r="C25" s="27">
        <v>3.5000000000000003E-2</v>
      </c>
      <c r="D25" s="18">
        <f>(B25*cenas!J25)*(1-C25)</f>
        <v>23.16</v>
      </c>
    </row>
    <row r="26" spans="1:4" x14ac:dyDescent="0.25">
      <c r="A26" s="19" t="s">
        <v>85</v>
      </c>
      <c r="B26" s="26">
        <v>2</v>
      </c>
      <c r="C26" s="27">
        <v>0.01</v>
      </c>
      <c r="D26" s="18">
        <f>(B26*cenas!J26)*(1-C26)</f>
        <v>23.759999999999998</v>
      </c>
    </row>
    <row r="27" spans="1:4" x14ac:dyDescent="0.25">
      <c r="A27" s="19" t="s">
        <v>86</v>
      </c>
      <c r="B27" s="26"/>
      <c r="C27" s="27">
        <v>0</v>
      </c>
      <c r="D27" s="18">
        <f>(B27*cenas!J27)*(1-C27)</f>
        <v>0</v>
      </c>
    </row>
    <row r="28" spans="1:4" x14ac:dyDescent="0.25">
      <c r="A28" s="19" t="s">
        <v>87</v>
      </c>
      <c r="B28" s="26">
        <v>4</v>
      </c>
      <c r="C28" s="27">
        <v>0.02</v>
      </c>
      <c r="D28" s="18">
        <f>(B28*cenas!J28)*(1-C28)</f>
        <v>3.92</v>
      </c>
    </row>
    <row r="29" spans="1:4" x14ac:dyDescent="0.25">
      <c r="B29" s="75" t="s">
        <v>101</v>
      </c>
      <c r="C29" s="76"/>
      <c r="D29" s="24">
        <f>SUM(D2:D28)</f>
        <v>5659.5800000000008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Q23" sqref="Q23"/>
    </sheetView>
  </sheetViews>
  <sheetFormatPr defaultColWidth="9.109375" defaultRowHeight="13.2" x14ac:dyDescent="0.25"/>
  <cols>
    <col min="1" max="1" width="26.109375" style="19" customWidth="1"/>
    <col min="2" max="2" width="9.33203125" style="21" customWidth="1"/>
    <col min="3" max="3" width="9.33203125" style="32" customWidth="1"/>
    <col min="4" max="8" width="9.33203125" style="21" customWidth="1"/>
    <col min="10" max="11" width="9.33203125" style="21" customWidth="1"/>
    <col min="12" max="16384" width="9.109375" style="19"/>
  </cols>
  <sheetData>
    <row r="1" spans="1:11" x14ac:dyDescent="0.25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1" x14ac:dyDescent="0.25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>
        <v>25</v>
      </c>
      <c r="K2" s="22">
        <v>42.5</v>
      </c>
    </row>
    <row r="3" spans="1:11" x14ac:dyDescent="0.25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50</v>
      </c>
      <c r="K3" s="22">
        <v>80.2</v>
      </c>
    </row>
    <row r="4" spans="1:11" x14ac:dyDescent="0.25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135</v>
      </c>
      <c r="K4" s="22">
        <v>207.4</v>
      </c>
    </row>
    <row r="5" spans="1:11" x14ac:dyDescent="0.25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70</v>
      </c>
      <c r="K5" s="22">
        <v>100.6</v>
      </c>
    </row>
    <row r="6" spans="1:11" x14ac:dyDescent="0.25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1" x14ac:dyDescent="0.25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60</v>
      </c>
      <c r="K7" s="22">
        <v>73</v>
      </c>
    </row>
    <row r="8" spans="1:11" x14ac:dyDescent="0.25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35</v>
      </c>
      <c r="K8" s="22">
        <v>38.700000000000003</v>
      </c>
    </row>
    <row r="9" spans="1:11" x14ac:dyDescent="0.25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53</v>
      </c>
      <c r="K9" s="22">
        <v>69.900000000000006</v>
      </c>
    </row>
    <row r="10" spans="1:11" x14ac:dyDescent="0.25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16</v>
      </c>
      <c r="K10" s="22">
        <v>34.1</v>
      </c>
    </row>
    <row r="11" spans="1:11" x14ac:dyDescent="0.25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35</v>
      </c>
      <c r="K11" s="22">
        <v>54.1</v>
      </c>
    </row>
    <row r="12" spans="1:11" x14ac:dyDescent="0.25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50</v>
      </c>
      <c r="K12" s="22">
        <v>92.2</v>
      </c>
    </row>
    <row r="13" spans="1:11" x14ac:dyDescent="0.25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130</v>
      </c>
      <c r="K13" s="22">
        <v>89.7</v>
      </c>
    </row>
    <row r="14" spans="1:11" x14ac:dyDescent="0.25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320</v>
      </c>
      <c r="K14" s="22">
        <v>174.4</v>
      </c>
    </row>
    <row r="15" spans="1:11" x14ac:dyDescent="0.25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60</v>
      </c>
      <c r="K15" s="22">
        <v>33.700000000000003</v>
      </c>
    </row>
    <row r="16" spans="1:11" x14ac:dyDescent="0.25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x14ac:dyDescent="0.25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24</v>
      </c>
      <c r="K17" s="22">
        <v>28.1</v>
      </c>
    </row>
    <row r="18" spans="1:11" x14ac:dyDescent="0.25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250</v>
      </c>
      <c r="K18" s="22">
        <v>213.8</v>
      </c>
    </row>
    <row r="19" spans="1:11" x14ac:dyDescent="0.25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14</v>
      </c>
      <c r="K19" s="22">
        <v>18.3</v>
      </c>
    </row>
    <row r="20" spans="1:11" x14ac:dyDescent="0.25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40</v>
      </c>
      <c r="K20" s="22">
        <v>27.5</v>
      </c>
    </row>
    <row r="21" spans="1:11" x14ac:dyDescent="0.25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55</v>
      </c>
      <c r="K21" s="22">
        <v>54.8</v>
      </c>
    </row>
    <row r="22" spans="1:11" x14ac:dyDescent="0.25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x14ac:dyDescent="0.25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40</v>
      </c>
      <c r="K23" s="22">
        <v>39.6</v>
      </c>
    </row>
    <row r="24" spans="1:11" x14ac:dyDescent="0.25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80</v>
      </c>
      <c r="K24" s="22">
        <v>53.5</v>
      </c>
    </row>
    <row r="25" spans="1:11" x14ac:dyDescent="0.25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12</v>
      </c>
      <c r="K25" s="22">
        <v>22</v>
      </c>
    </row>
    <row r="26" spans="1:11" x14ac:dyDescent="0.25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x14ac:dyDescent="0.25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50</v>
      </c>
      <c r="K27" s="22">
        <v>55.6</v>
      </c>
    </row>
    <row r="28" spans="1:11" x14ac:dyDescent="0.25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1CEA-C17B-41C4-8241-BEDE4902C8DE}">
  <dimension ref="A3:B13"/>
  <sheetViews>
    <sheetView workbookViewId="0">
      <selection activeCell="AD28" sqref="AD28"/>
    </sheetView>
  </sheetViews>
  <sheetFormatPr defaultRowHeight="13.2" x14ac:dyDescent="0.25"/>
  <cols>
    <col min="1" max="1" width="16.33203125" bestFit="1" customWidth="1"/>
    <col min="2" max="2" width="18" bestFit="1" customWidth="1"/>
    <col min="3" max="9" width="5" bestFit="1" customWidth="1"/>
    <col min="10" max="10" width="3" bestFit="1" customWidth="1"/>
    <col min="11" max="16" width="5" bestFit="1" customWidth="1"/>
    <col min="17" max="17" width="3" bestFit="1" customWidth="1"/>
    <col min="18" max="40" width="5" bestFit="1" customWidth="1"/>
    <col min="41" max="41" width="3" bestFit="1" customWidth="1"/>
    <col min="42" max="59" width="5" bestFit="1" customWidth="1"/>
    <col min="60" max="60" width="3" bestFit="1" customWidth="1"/>
    <col min="61" max="67" width="5" bestFit="1" customWidth="1"/>
    <col min="68" max="68" width="3" bestFit="1" customWidth="1"/>
    <col min="69" max="77" width="5" bestFit="1" customWidth="1"/>
    <col min="78" max="78" width="3" bestFit="1" customWidth="1"/>
    <col min="79" max="87" width="5" bestFit="1" customWidth="1"/>
    <col min="88" max="88" width="3" bestFit="1" customWidth="1"/>
    <col min="89" max="97" width="5" bestFit="1" customWidth="1"/>
    <col min="98" max="98" width="3" bestFit="1" customWidth="1"/>
    <col min="99" max="107" width="5" bestFit="1" customWidth="1"/>
    <col min="108" max="108" width="3" bestFit="1" customWidth="1"/>
    <col min="109" max="116" width="5" bestFit="1" customWidth="1"/>
    <col min="117" max="117" width="3" bestFit="1" customWidth="1"/>
    <col min="118" max="126" width="5" bestFit="1" customWidth="1"/>
    <col min="127" max="127" width="3" bestFit="1" customWidth="1"/>
    <col min="128" max="135" width="5" bestFit="1" customWidth="1"/>
    <col min="136" max="136" width="3" bestFit="1" customWidth="1"/>
    <col min="137" max="144" width="5" bestFit="1" customWidth="1"/>
    <col min="145" max="145" width="3" bestFit="1" customWidth="1"/>
    <col min="146" max="151" width="5" bestFit="1" customWidth="1"/>
    <col min="152" max="152" width="3" bestFit="1" customWidth="1"/>
    <col min="153" max="159" width="5" bestFit="1" customWidth="1"/>
    <col min="160" max="160" width="12.44140625" bestFit="1" customWidth="1"/>
    <col min="161" max="161" width="19" bestFit="1" customWidth="1"/>
    <col min="162" max="162" width="8" bestFit="1" customWidth="1"/>
    <col min="163" max="163" width="8.6640625" bestFit="1" customWidth="1"/>
    <col min="164" max="164" width="6.88671875" bestFit="1" customWidth="1"/>
    <col min="165" max="165" width="6" bestFit="1" customWidth="1"/>
    <col min="166" max="166" width="15" bestFit="1" customWidth="1"/>
    <col min="167" max="167" width="13.88671875" bestFit="1" customWidth="1"/>
    <col min="168" max="168" width="7" bestFit="1" customWidth="1"/>
    <col min="169" max="169" width="11.88671875" bestFit="1" customWidth="1"/>
    <col min="170" max="171" width="21.5546875" bestFit="1" customWidth="1"/>
    <col min="172" max="172" width="7.33203125" bestFit="1" customWidth="1"/>
    <col min="173" max="173" width="9.109375" bestFit="1" customWidth="1"/>
    <col min="174" max="174" width="14.44140625" bestFit="1" customWidth="1"/>
    <col min="175" max="175" width="7.109375" bestFit="1" customWidth="1"/>
    <col min="176" max="176" width="13.109375" bestFit="1" customWidth="1"/>
    <col min="177" max="177" width="8.44140625" bestFit="1" customWidth="1"/>
    <col min="178" max="178" width="10" bestFit="1" customWidth="1"/>
    <col min="179" max="179" width="8.6640625" bestFit="1" customWidth="1"/>
    <col min="180" max="180" width="12.88671875" bestFit="1" customWidth="1"/>
    <col min="181" max="181" width="14" bestFit="1" customWidth="1"/>
    <col min="182" max="182" width="8.5546875" bestFit="1" customWidth="1"/>
    <col min="183" max="183" width="16.44140625" bestFit="1" customWidth="1"/>
    <col min="184" max="184" width="8" bestFit="1" customWidth="1"/>
    <col min="185" max="185" width="14.6640625" bestFit="1" customWidth="1"/>
    <col min="186" max="186" width="18.33203125" bestFit="1" customWidth="1"/>
    <col min="187" max="187" width="9.5546875" bestFit="1" customWidth="1"/>
    <col min="188" max="188" width="12.109375" bestFit="1" customWidth="1"/>
    <col min="189" max="189" width="11.33203125" bestFit="1" customWidth="1"/>
    <col min="190" max="190" width="8.6640625" bestFit="1" customWidth="1"/>
    <col min="191" max="191" width="12.109375" bestFit="1" customWidth="1"/>
    <col min="192" max="192" width="9.109375" bestFit="1" customWidth="1"/>
    <col min="193" max="194" width="17" bestFit="1" customWidth="1"/>
    <col min="195" max="195" width="6.109375" bestFit="1" customWidth="1"/>
    <col min="196" max="197" width="17" bestFit="1" customWidth="1"/>
    <col min="198" max="198" width="6.33203125" bestFit="1" customWidth="1"/>
    <col min="199" max="199" width="11.6640625" bestFit="1" customWidth="1"/>
    <col min="200" max="200" width="19.5546875" bestFit="1" customWidth="1"/>
    <col min="201" max="201" width="8.88671875" bestFit="1" customWidth="1"/>
    <col min="202" max="202" width="6" bestFit="1" customWidth="1"/>
    <col min="203" max="203" width="9.44140625" bestFit="1" customWidth="1"/>
    <col min="204" max="205" width="9.33203125" bestFit="1" customWidth="1"/>
    <col min="206" max="206" width="15.33203125" bestFit="1" customWidth="1"/>
    <col min="207" max="207" width="16.44140625" bestFit="1" customWidth="1"/>
    <col min="208" max="208" width="5" bestFit="1" customWidth="1"/>
    <col min="209" max="209" width="16.88671875" bestFit="1" customWidth="1"/>
    <col min="210" max="210" width="7.88671875" bestFit="1" customWidth="1"/>
    <col min="211" max="211" width="14.5546875" bestFit="1" customWidth="1"/>
    <col min="212" max="212" width="7.109375" bestFit="1" customWidth="1"/>
    <col min="213" max="213" width="5.33203125" bestFit="1" customWidth="1"/>
    <col min="214" max="215" width="11.6640625" bestFit="1" customWidth="1"/>
    <col min="216" max="216" width="18.88671875" bestFit="1" customWidth="1"/>
    <col min="217" max="217" width="7.6640625" bestFit="1" customWidth="1"/>
    <col min="218" max="218" width="17.6640625" bestFit="1" customWidth="1"/>
    <col min="219" max="219" width="8" bestFit="1" customWidth="1"/>
    <col min="220" max="220" width="12.6640625" bestFit="1" customWidth="1"/>
    <col min="221" max="222" width="8" bestFit="1" customWidth="1"/>
    <col min="223" max="223" width="4" bestFit="1" customWidth="1"/>
    <col min="224" max="226" width="5" bestFit="1" customWidth="1"/>
    <col min="227" max="227" width="6.109375" bestFit="1" customWidth="1"/>
    <col min="228" max="228" width="9.33203125" bestFit="1" customWidth="1"/>
    <col min="229" max="229" width="20.6640625" bestFit="1" customWidth="1"/>
    <col min="230" max="230" width="8.44140625" bestFit="1" customWidth="1"/>
    <col min="231" max="231" width="11" bestFit="1" customWidth="1"/>
    <col min="232" max="232" width="7.109375" bestFit="1" customWidth="1"/>
    <col min="233" max="233" width="12.33203125" bestFit="1" customWidth="1"/>
    <col min="234" max="234" width="8.33203125" bestFit="1" customWidth="1"/>
    <col min="235" max="236" width="7.6640625" bestFit="1" customWidth="1"/>
    <col min="237" max="237" width="9.6640625" bestFit="1" customWidth="1"/>
    <col min="238" max="238" width="11.88671875" bestFit="1" customWidth="1"/>
    <col min="239" max="239" width="11.109375" bestFit="1" customWidth="1"/>
    <col min="240" max="240" width="9.109375" bestFit="1" customWidth="1"/>
    <col min="241" max="241" width="14.88671875" bestFit="1" customWidth="1"/>
    <col min="242" max="242" width="14.6640625" bestFit="1" customWidth="1"/>
    <col min="243" max="243" width="7.109375" bestFit="1" customWidth="1"/>
    <col min="244" max="244" width="9.33203125" bestFit="1" customWidth="1"/>
    <col min="245" max="245" width="8.109375" bestFit="1" customWidth="1"/>
    <col min="246" max="246" width="9.6640625" bestFit="1" customWidth="1"/>
    <col min="247" max="247" width="11.44140625" bestFit="1" customWidth="1"/>
    <col min="248" max="248" width="15.5546875" bestFit="1" customWidth="1"/>
    <col min="249" max="249" width="16.5546875" bestFit="1" customWidth="1"/>
    <col min="250" max="250" width="5.33203125" bestFit="1" customWidth="1"/>
    <col min="251" max="251" width="11.88671875" bestFit="1" customWidth="1"/>
    <col min="252" max="252" width="10.44140625" bestFit="1" customWidth="1"/>
    <col min="253" max="253" width="5" bestFit="1" customWidth="1"/>
    <col min="254" max="254" width="6.109375" bestFit="1" customWidth="1"/>
    <col min="255" max="255" width="5.33203125" bestFit="1" customWidth="1"/>
    <col min="256" max="256" width="19.6640625" bestFit="1" customWidth="1"/>
    <col min="257" max="257" width="20.88671875" bestFit="1" customWidth="1"/>
    <col min="258" max="258" width="6.6640625" bestFit="1" customWidth="1"/>
    <col min="259" max="259" width="6.44140625" bestFit="1" customWidth="1"/>
    <col min="260" max="260" width="6.88671875" bestFit="1" customWidth="1"/>
    <col min="261" max="261" width="11.88671875" bestFit="1" customWidth="1"/>
    <col min="262" max="262" width="6" bestFit="1" customWidth="1"/>
    <col min="263" max="263" width="12.44140625" bestFit="1" customWidth="1"/>
  </cols>
  <sheetData>
    <row r="3" spans="1:2" x14ac:dyDescent="0.25">
      <c r="A3" s="63" t="s">
        <v>3918</v>
      </c>
      <c r="B3" t="s">
        <v>3919</v>
      </c>
    </row>
    <row r="4" spans="1:2" x14ac:dyDescent="0.25">
      <c r="A4" s="64" t="s">
        <v>455</v>
      </c>
      <c r="B4" s="65">
        <v>911.9000000000002</v>
      </c>
    </row>
    <row r="5" spans="1:2" x14ac:dyDescent="0.25">
      <c r="A5" s="64" t="s">
        <v>172</v>
      </c>
      <c r="B5" s="65">
        <v>906.00000000000011</v>
      </c>
    </row>
    <row r="6" spans="1:2" x14ac:dyDescent="0.25">
      <c r="A6" s="64" t="s">
        <v>560</v>
      </c>
      <c r="B6" s="65">
        <v>742.1</v>
      </c>
    </row>
    <row r="7" spans="1:2" x14ac:dyDescent="0.25">
      <c r="A7" s="64" t="s">
        <v>118</v>
      </c>
      <c r="B7" s="65">
        <v>5666.8999999999987</v>
      </c>
    </row>
    <row r="8" spans="1:2" x14ac:dyDescent="0.25">
      <c r="A8" s="64" t="s">
        <v>176</v>
      </c>
      <c r="B8" s="65">
        <v>2526.1</v>
      </c>
    </row>
    <row r="9" spans="1:2" x14ac:dyDescent="0.25">
      <c r="A9" s="64" t="s">
        <v>219</v>
      </c>
      <c r="B9" s="65">
        <v>564.29999999999995</v>
      </c>
    </row>
    <row r="10" spans="1:2" x14ac:dyDescent="0.25">
      <c r="A10" s="64" t="s">
        <v>512</v>
      </c>
      <c r="B10" s="65">
        <v>213.29999999999998</v>
      </c>
    </row>
    <row r="11" spans="1:2" x14ac:dyDescent="0.25">
      <c r="A11" s="64" t="s">
        <v>631</v>
      </c>
      <c r="B11" s="65">
        <v>229.60000000000005</v>
      </c>
    </row>
    <row r="12" spans="1:2" x14ac:dyDescent="0.25">
      <c r="A12" s="64" t="s">
        <v>112</v>
      </c>
      <c r="B12" s="65">
        <v>806.7</v>
      </c>
    </row>
    <row r="13" spans="1:2" x14ac:dyDescent="0.25">
      <c r="A13" s="64" t="s">
        <v>3917</v>
      </c>
      <c r="B13" s="65">
        <v>12566.9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tabSelected="1" workbookViewId="0">
      <selection activeCell="L1" sqref="L1:P3"/>
    </sheetView>
  </sheetViews>
  <sheetFormatPr defaultRowHeight="13.2" x14ac:dyDescent="0.25"/>
  <cols>
    <col min="1" max="2" width="9.109375" style="17" customWidth="1"/>
    <col min="3" max="3" width="13.88671875" style="16" customWidth="1"/>
    <col min="4" max="4" width="8.88671875" style="16"/>
    <col min="5" max="5" width="25.44140625" style="16" customWidth="1"/>
    <col min="6" max="7" width="9.109375" style="17" customWidth="1"/>
    <col min="8" max="256" width="8.88671875" style="16"/>
    <col min="257" max="258" width="9.109375" style="16" customWidth="1"/>
    <col min="259" max="259" width="13.88671875" style="16" customWidth="1"/>
    <col min="260" max="260" width="8.88671875" style="16"/>
    <col min="261" max="261" width="25.44140625" style="16" customWidth="1"/>
    <col min="262" max="263" width="9.109375" style="16" customWidth="1"/>
    <col min="264" max="512" width="8.88671875" style="16"/>
    <col min="513" max="514" width="9.109375" style="16" customWidth="1"/>
    <col min="515" max="515" width="13.88671875" style="16" customWidth="1"/>
    <col min="516" max="516" width="8.88671875" style="16"/>
    <col min="517" max="517" width="25.44140625" style="16" customWidth="1"/>
    <col min="518" max="519" width="9.109375" style="16" customWidth="1"/>
    <col min="520" max="768" width="8.88671875" style="16"/>
    <col min="769" max="770" width="9.109375" style="16" customWidth="1"/>
    <col min="771" max="771" width="13.88671875" style="16" customWidth="1"/>
    <col min="772" max="772" width="8.88671875" style="16"/>
    <col min="773" max="773" width="25.44140625" style="16" customWidth="1"/>
    <col min="774" max="775" width="9.109375" style="16" customWidth="1"/>
    <col min="776" max="1024" width="8.88671875" style="16"/>
    <col min="1025" max="1026" width="9.109375" style="16" customWidth="1"/>
    <col min="1027" max="1027" width="13.88671875" style="16" customWidth="1"/>
    <col min="1028" max="1028" width="8.88671875" style="16"/>
    <col min="1029" max="1029" width="25.44140625" style="16" customWidth="1"/>
    <col min="1030" max="1031" width="9.109375" style="16" customWidth="1"/>
    <col min="1032" max="1280" width="8.88671875" style="16"/>
    <col min="1281" max="1282" width="9.109375" style="16" customWidth="1"/>
    <col min="1283" max="1283" width="13.88671875" style="16" customWidth="1"/>
    <col min="1284" max="1284" width="8.88671875" style="16"/>
    <col min="1285" max="1285" width="25.44140625" style="16" customWidth="1"/>
    <col min="1286" max="1287" width="9.109375" style="16" customWidth="1"/>
    <col min="1288" max="1536" width="8.88671875" style="16"/>
    <col min="1537" max="1538" width="9.109375" style="16" customWidth="1"/>
    <col min="1539" max="1539" width="13.88671875" style="16" customWidth="1"/>
    <col min="1540" max="1540" width="8.88671875" style="16"/>
    <col min="1541" max="1541" width="25.44140625" style="16" customWidth="1"/>
    <col min="1542" max="1543" width="9.109375" style="16" customWidth="1"/>
    <col min="1544" max="1792" width="8.88671875" style="16"/>
    <col min="1793" max="1794" width="9.109375" style="16" customWidth="1"/>
    <col min="1795" max="1795" width="13.88671875" style="16" customWidth="1"/>
    <col min="1796" max="1796" width="8.88671875" style="16"/>
    <col min="1797" max="1797" width="25.44140625" style="16" customWidth="1"/>
    <col min="1798" max="1799" width="9.109375" style="16" customWidth="1"/>
    <col min="1800" max="2048" width="8.88671875" style="16"/>
    <col min="2049" max="2050" width="9.109375" style="16" customWidth="1"/>
    <col min="2051" max="2051" width="13.88671875" style="16" customWidth="1"/>
    <col min="2052" max="2052" width="8.88671875" style="16"/>
    <col min="2053" max="2053" width="25.44140625" style="16" customWidth="1"/>
    <col min="2054" max="2055" width="9.109375" style="16" customWidth="1"/>
    <col min="2056" max="2304" width="8.88671875" style="16"/>
    <col min="2305" max="2306" width="9.109375" style="16" customWidth="1"/>
    <col min="2307" max="2307" width="13.88671875" style="16" customWidth="1"/>
    <col min="2308" max="2308" width="8.88671875" style="16"/>
    <col min="2309" max="2309" width="25.44140625" style="16" customWidth="1"/>
    <col min="2310" max="2311" width="9.109375" style="16" customWidth="1"/>
    <col min="2312" max="2560" width="8.88671875" style="16"/>
    <col min="2561" max="2562" width="9.109375" style="16" customWidth="1"/>
    <col min="2563" max="2563" width="13.88671875" style="16" customWidth="1"/>
    <col min="2564" max="2564" width="8.88671875" style="16"/>
    <col min="2565" max="2565" width="25.44140625" style="16" customWidth="1"/>
    <col min="2566" max="2567" width="9.109375" style="16" customWidth="1"/>
    <col min="2568" max="2816" width="8.88671875" style="16"/>
    <col min="2817" max="2818" width="9.109375" style="16" customWidth="1"/>
    <col min="2819" max="2819" width="13.88671875" style="16" customWidth="1"/>
    <col min="2820" max="2820" width="8.88671875" style="16"/>
    <col min="2821" max="2821" width="25.44140625" style="16" customWidth="1"/>
    <col min="2822" max="2823" width="9.109375" style="16" customWidth="1"/>
    <col min="2824" max="3072" width="8.88671875" style="16"/>
    <col min="3073" max="3074" width="9.109375" style="16" customWidth="1"/>
    <col min="3075" max="3075" width="13.88671875" style="16" customWidth="1"/>
    <col min="3076" max="3076" width="8.88671875" style="16"/>
    <col min="3077" max="3077" width="25.44140625" style="16" customWidth="1"/>
    <col min="3078" max="3079" width="9.109375" style="16" customWidth="1"/>
    <col min="3080" max="3328" width="8.88671875" style="16"/>
    <col min="3329" max="3330" width="9.109375" style="16" customWidth="1"/>
    <col min="3331" max="3331" width="13.88671875" style="16" customWidth="1"/>
    <col min="3332" max="3332" width="8.88671875" style="16"/>
    <col min="3333" max="3333" width="25.44140625" style="16" customWidth="1"/>
    <col min="3334" max="3335" width="9.109375" style="16" customWidth="1"/>
    <col min="3336" max="3584" width="8.88671875" style="16"/>
    <col min="3585" max="3586" width="9.109375" style="16" customWidth="1"/>
    <col min="3587" max="3587" width="13.88671875" style="16" customWidth="1"/>
    <col min="3588" max="3588" width="8.88671875" style="16"/>
    <col min="3589" max="3589" width="25.44140625" style="16" customWidth="1"/>
    <col min="3590" max="3591" width="9.109375" style="16" customWidth="1"/>
    <col min="3592" max="3840" width="8.88671875" style="16"/>
    <col min="3841" max="3842" width="9.109375" style="16" customWidth="1"/>
    <col min="3843" max="3843" width="13.88671875" style="16" customWidth="1"/>
    <col min="3844" max="3844" width="8.88671875" style="16"/>
    <col min="3845" max="3845" width="25.44140625" style="16" customWidth="1"/>
    <col min="3846" max="3847" width="9.109375" style="16" customWidth="1"/>
    <col min="3848" max="4096" width="8.88671875" style="16"/>
    <col min="4097" max="4098" width="9.109375" style="16" customWidth="1"/>
    <col min="4099" max="4099" width="13.88671875" style="16" customWidth="1"/>
    <col min="4100" max="4100" width="8.88671875" style="16"/>
    <col min="4101" max="4101" width="25.44140625" style="16" customWidth="1"/>
    <col min="4102" max="4103" width="9.109375" style="16" customWidth="1"/>
    <col min="4104" max="4352" width="8.88671875" style="16"/>
    <col min="4353" max="4354" width="9.109375" style="16" customWidth="1"/>
    <col min="4355" max="4355" width="13.88671875" style="16" customWidth="1"/>
    <col min="4356" max="4356" width="8.88671875" style="16"/>
    <col min="4357" max="4357" width="25.44140625" style="16" customWidth="1"/>
    <col min="4358" max="4359" width="9.109375" style="16" customWidth="1"/>
    <col min="4360" max="4608" width="8.88671875" style="16"/>
    <col min="4609" max="4610" width="9.109375" style="16" customWidth="1"/>
    <col min="4611" max="4611" width="13.88671875" style="16" customWidth="1"/>
    <col min="4612" max="4612" width="8.88671875" style="16"/>
    <col min="4613" max="4613" width="25.44140625" style="16" customWidth="1"/>
    <col min="4614" max="4615" width="9.109375" style="16" customWidth="1"/>
    <col min="4616" max="4864" width="8.88671875" style="16"/>
    <col min="4865" max="4866" width="9.109375" style="16" customWidth="1"/>
    <col min="4867" max="4867" width="13.88671875" style="16" customWidth="1"/>
    <col min="4868" max="4868" width="8.88671875" style="16"/>
    <col min="4869" max="4869" width="25.44140625" style="16" customWidth="1"/>
    <col min="4870" max="4871" width="9.109375" style="16" customWidth="1"/>
    <col min="4872" max="5120" width="8.88671875" style="16"/>
    <col min="5121" max="5122" width="9.109375" style="16" customWidth="1"/>
    <col min="5123" max="5123" width="13.88671875" style="16" customWidth="1"/>
    <col min="5124" max="5124" width="8.88671875" style="16"/>
    <col min="5125" max="5125" width="25.44140625" style="16" customWidth="1"/>
    <col min="5126" max="5127" width="9.109375" style="16" customWidth="1"/>
    <col min="5128" max="5376" width="8.88671875" style="16"/>
    <col min="5377" max="5378" width="9.109375" style="16" customWidth="1"/>
    <col min="5379" max="5379" width="13.88671875" style="16" customWidth="1"/>
    <col min="5380" max="5380" width="8.88671875" style="16"/>
    <col min="5381" max="5381" width="25.44140625" style="16" customWidth="1"/>
    <col min="5382" max="5383" width="9.109375" style="16" customWidth="1"/>
    <col min="5384" max="5632" width="8.88671875" style="16"/>
    <col min="5633" max="5634" width="9.109375" style="16" customWidth="1"/>
    <col min="5635" max="5635" width="13.88671875" style="16" customWidth="1"/>
    <col min="5636" max="5636" width="8.88671875" style="16"/>
    <col min="5637" max="5637" width="25.44140625" style="16" customWidth="1"/>
    <col min="5638" max="5639" width="9.109375" style="16" customWidth="1"/>
    <col min="5640" max="5888" width="8.88671875" style="16"/>
    <col min="5889" max="5890" width="9.109375" style="16" customWidth="1"/>
    <col min="5891" max="5891" width="13.88671875" style="16" customWidth="1"/>
    <col min="5892" max="5892" width="8.88671875" style="16"/>
    <col min="5893" max="5893" width="25.44140625" style="16" customWidth="1"/>
    <col min="5894" max="5895" width="9.109375" style="16" customWidth="1"/>
    <col min="5896" max="6144" width="8.88671875" style="16"/>
    <col min="6145" max="6146" width="9.109375" style="16" customWidth="1"/>
    <col min="6147" max="6147" width="13.88671875" style="16" customWidth="1"/>
    <col min="6148" max="6148" width="8.88671875" style="16"/>
    <col min="6149" max="6149" width="25.44140625" style="16" customWidth="1"/>
    <col min="6150" max="6151" width="9.109375" style="16" customWidth="1"/>
    <col min="6152" max="6400" width="8.88671875" style="16"/>
    <col min="6401" max="6402" width="9.109375" style="16" customWidth="1"/>
    <col min="6403" max="6403" width="13.88671875" style="16" customWidth="1"/>
    <col min="6404" max="6404" width="8.88671875" style="16"/>
    <col min="6405" max="6405" width="25.44140625" style="16" customWidth="1"/>
    <col min="6406" max="6407" width="9.109375" style="16" customWidth="1"/>
    <col min="6408" max="6656" width="8.88671875" style="16"/>
    <col min="6657" max="6658" width="9.109375" style="16" customWidth="1"/>
    <col min="6659" max="6659" width="13.88671875" style="16" customWidth="1"/>
    <col min="6660" max="6660" width="8.88671875" style="16"/>
    <col min="6661" max="6661" width="25.44140625" style="16" customWidth="1"/>
    <col min="6662" max="6663" width="9.109375" style="16" customWidth="1"/>
    <col min="6664" max="6912" width="8.88671875" style="16"/>
    <col min="6913" max="6914" width="9.109375" style="16" customWidth="1"/>
    <col min="6915" max="6915" width="13.88671875" style="16" customWidth="1"/>
    <col min="6916" max="6916" width="8.88671875" style="16"/>
    <col min="6917" max="6917" width="25.44140625" style="16" customWidth="1"/>
    <col min="6918" max="6919" width="9.109375" style="16" customWidth="1"/>
    <col min="6920" max="7168" width="8.88671875" style="16"/>
    <col min="7169" max="7170" width="9.109375" style="16" customWidth="1"/>
    <col min="7171" max="7171" width="13.88671875" style="16" customWidth="1"/>
    <col min="7172" max="7172" width="8.88671875" style="16"/>
    <col min="7173" max="7173" width="25.44140625" style="16" customWidth="1"/>
    <col min="7174" max="7175" width="9.109375" style="16" customWidth="1"/>
    <col min="7176" max="7424" width="8.88671875" style="16"/>
    <col min="7425" max="7426" width="9.109375" style="16" customWidth="1"/>
    <col min="7427" max="7427" width="13.88671875" style="16" customWidth="1"/>
    <col min="7428" max="7428" width="8.88671875" style="16"/>
    <col min="7429" max="7429" width="25.44140625" style="16" customWidth="1"/>
    <col min="7430" max="7431" width="9.109375" style="16" customWidth="1"/>
    <col min="7432" max="7680" width="8.88671875" style="16"/>
    <col min="7681" max="7682" width="9.109375" style="16" customWidth="1"/>
    <col min="7683" max="7683" width="13.88671875" style="16" customWidth="1"/>
    <col min="7684" max="7684" width="8.88671875" style="16"/>
    <col min="7685" max="7685" width="25.44140625" style="16" customWidth="1"/>
    <col min="7686" max="7687" width="9.109375" style="16" customWidth="1"/>
    <col min="7688" max="7936" width="8.88671875" style="16"/>
    <col min="7937" max="7938" width="9.109375" style="16" customWidth="1"/>
    <col min="7939" max="7939" width="13.88671875" style="16" customWidth="1"/>
    <col min="7940" max="7940" width="8.88671875" style="16"/>
    <col min="7941" max="7941" width="25.44140625" style="16" customWidth="1"/>
    <col min="7942" max="7943" width="9.109375" style="16" customWidth="1"/>
    <col min="7944" max="8192" width="8.88671875" style="16"/>
    <col min="8193" max="8194" width="9.109375" style="16" customWidth="1"/>
    <col min="8195" max="8195" width="13.88671875" style="16" customWidth="1"/>
    <col min="8196" max="8196" width="8.88671875" style="16"/>
    <col min="8197" max="8197" width="25.44140625" style="16" customWidth="1"/>
    <col min="8198" max="8199" width="9.109375" style="16" customWidth="1"/>
    <col min="8200" max="8448" width="8.88671875" style="16"/>
    <col min="8449" max="8450" width="9.109375" style="16" customWidth="1"/>
    <col min="8451" max="8451" width="13.88671875" style="16" customWidth="1"/>
    <col min="8452" max="8452" width="8.88671875" style="16"/>
    <col min="8453" max="8453" width="25.44140625" style="16" customWidth="1"/>
    <col min="8454" max="8455" width="9.109375" style="16" customWidth="1"/>
    <col min="8456" max="8704" width="8.88671875" style="16"/>
    <col min="8705" max="8706" width="9.109375" style="16" customWidth="1"/>
    <col min="8707" max="8707" width="13.88671875" style="16" customWidth="1"/>
    <col min="8708" max="8708" width="8.88671875" style="16"/>
    <col min="8709" max="8709" width="25.44140625" style="16" customWidth="1"/>
    <col min="8710" max="8711" width="9.109375" style="16" customWidth="1"/>
    <col min="8712" max="8960" width="8.88671875" style="16"/>
    <col min="8961" max="8962" width="9.109375" style="16" customWidth="1"/>
    <col min="8963" max="8963" width="13.88671875" style="16" customWidth="1"/>
    <col min="8964" max="8964" width="8.88671875" style="16"/>
    <col min="8965" max="8965" width="25.44140625" style="16" customWidth="1"/>
    <col min="8966" max="8967" width="9.109375" style="16" customWidth="1"/>
    <col min="8968" max="9216" width="8.88671875" style="16"/>
    <col min="9217" max="9218" width="9.109375" style="16" customWidth="1"/>
    <col min="9219" max="9219" width="13.88671875" style="16" customWidth="1"/>
    <col min="9220" max="9220" width="8.88671875" style="16"/>
    <col min="9221" max="9221" width="25.44140625" style="16" customWidth="1"/>
    <col min="9222" max="9223" width="9.109375" style="16" customWidth="1"/>
    <col min="9224" max="9472" width="8.88671875" style="16"/>
    <col min="9473" max="9474" width="9.109375" style="16" customWidth="1"/>
    <col min="9475" max="9475" width="13.88671875" style="16" customWidth="1"/>
    <col min="9476" max="9476" width="8.88671875" style="16"/>
    <col min="9477" max="9477" width="25.44140625" style="16" customWidth="1"/>
    <col min="9478" max="9479" width="9.109375" style="16" customWidth="1"/>
    <col min="9480" max="9728" width="8.88671875" style="16"/>
    <col min="9729" max="9730" width="9.109375" style="16" customWidth="1"/>
    <col min="9731" max="9731" width="13.88671875" style="16" customWidth="1"/>
    <col min="9732" max="9732" width="8.88671875" style="16"/>
    <col min="9733" max="9733" width="25.44140625" style="16" customWidth="1"/>
    <col min="9734" max="9735" width="9.109375" style="16" customWidth="1"/>
    <col min="9736" max="9984" width="8.88671875" style="16"/>
    <col min="9985" max="9986" width="9.109375" style="16" customWidth="1"/>
    <col min="9987" max="9987" width="13.88671875" style="16" customWidth="1"/>
    <col min="9988" max="9988" width="8.88671875" style="16"/>
    <col min="9989" max="9989" width="25.44140625" style="16" customWidth="1"/>
    <col min="9990" max="9991" width="9.109375" style="16" customWidth="1"/>
    <col min="9992" max="10240" width="8.88671875" style="16"/>
    <col min="10241" max="10242" width="9.109375" style="16" customWidth="1"/>
    <col min="10243" max="10243" width="13.88671875" style="16" customWidth="1"/>
    <col min="10244" max="10244" width="8.88671875" style="16"/>
    <col min="10245" max="10245" width="25.44140625" style="16" customWidth="1"/>
    <col min="10246" max="10247" width="9.109375" style="16" customWidth="1"/>
    <col min="10248" max="10496" width="8.88671875" style="16"/>
    <col min="10497" max="10498" width="9.109375" style="16" customWidth="1"/>
    <col min="10499" max="10499" width="13.88671875" style="16" customWidth="1"/>
    <col min="10500" max="10500" width="8.88671875" style="16"/>
    <col min="10501" max="10501" width="25.44140625" style="16" customWidth="1"/>
    <col min="10502" max="10503" width="9.109375" style="16" customWidth="1"/>
    <col min="10504" max="10752" width="8.88671875" style="16"/>
    <col min="10753" max="10754" width="9.109375" style="16" customWidth="1"/>
    <col min="10755" max="10755" width="13.88671875" style="16" customWidth="1"/>
    <col min="10756" max="10756" width="8.88671875" style="16"/>
    <col min="10757" max="10757" width="25.44140625" style="16" customWidth="1"/>
    <col min="10758" max="10759" width="9.109375" style="16" customWidth="1"/>
    <col min="10760" max="11008" width="8.88671875" style="16"/>
    <col min="11009" max="11010" width="9.109375" style="16" customWidth="1"/>
    <col min="11011" max="11011" width="13.88671875" style="16" customWidth="1"/>
    <col min="11012" max="11012" width="8.88671875" style="16"/>
    <col min="11013" max="11013" width="25.44140625" style="16" customWidth="1"/>
    <col min="11014" max="11015" width="9.109375" style="16" customWidth="1"/>
    <col min="11016" max="11264" width="8.88671875" style="16"/>
    <col min="11265" max="11266" width="9.109375" style="16" customWidth="1"/>
    <col min="11267" max="11267" width="13.88671875" style="16" customWidth="1"/>
    <col min="11268" max="11268" width="8.88671875" style="16"/>
    <col min="11269" max="11269" width="25.44140625" style="16" customWidth="1"/>
    <col min="11270" max="11271" width="9.109375" style="16" customWidth="1"/>
    <col min="11272" max="11520" width="8.88671875" style="16"/>
    <col min="11521" max="11522" width="9.109375" style="16" customWidth="1"/>
    <col min="11523" max="11523" width="13.88671875" style="16" customWidth="1"/>
    <col min="11524" max="11524" width="8.88671875" style="16"/>
    <col min="11525" max="11525" width="25.44140625" style="16" customWidth="1"/>
    <col min="11526" max="11527" width="9.109375" style="16" customWidth="1"/>
    <col min="11528" max="11776" width="8.88671875" style="16"/>
    <col min="11777" max="11778" width="9.109375" style="16" customWidth="1"/>
    <col min="11779" max="11779" width="13.88671875" style="16" customWidth="1"/>
    <col min="11780" max="11780" width="8.88671875" style="16"/>
    <col min="11781" max="11781" width="25.44140625" style="16" customWidth="1"/>
    <col min="11782" max="11783" width="9.109375" style="16" customWidth="1"/>
    <col min="11784" max="12032" width="8.88671875" style="16"/>
    <col min="12033" max="12034" width="9.109375" style="16" customWidth="1"/>
    <col min="12035" max="12035" width="13.88671875" style="16" customWidth="1"/>
    <col min="12036" max="12036" width="8.88671875" style="16"/>
    <col min="12037" max="12037" width="25.44140625" style="16" customWidth="1"/>
    <col min="12038" max="12039" width="9.109375" style="16" customWidth="1"/>
    <col min="12040" max="12288" width="8.88671875" style="16"/>
    <col min="12289" max="12290" width="9.109375" style="16" customWidth="1"/>
    <col min="12291" max="12291" width="13.88671875" style="16" customWidth="1"/>
    <col min="12292" max="12292" width="8.88671875" style="16"/>
    <col min="12293" max="12293" width="25.44140625" style="16" customWidth="1"/>
    <col min="12294" max="12295" width="9.109375" style="16" customWidth="1"/>
    <col min="12296" max="12544" width="8.88671875" style="16"/>
    <col min="12545" max="12546" width="9.109375" style="16" customWidth="1"/>
    <col min="12547" max="12547" width="13.88671875" style="16" customWidth="1"/>
    <col min="12548" max="12548" width="8.88671875" style="16"/>
    <col min="12549" max="12549" width="25.44140625" style="16" customWidth="1"/>
    <col min="12550" max="12551" width="9.109375" style="16" customWidth="1"/>
    <col min="12552" max="12800" width="8.88671875" style="16"/>
    <col min="12801" max="12802" width="9.109375" style="16" customWidth="1"/>
    <col min="12803" max="12803" width="13.88671875" style="16" customWidth="1"/>
    <col min="12804" max="12804" width="8.88671875" style="16"/>
    <col min="12805" max="12805" width="25.44140625" style="16" customWidth="1"/>
    <col min="12806" max="12807" width="9.109375" style="16" customWidth="1"/>
    <col min="12808" max="13056" width="8.88671875" style="16"/>
    <col min="13057" max="13058" width="9.109375" style="16" customWidth="1"/>
    <col min="13059" max="13059" width="13.88671875" style="16" customWidth="1"/>
    <col min="13060" max="13060" width="8.88671875" style="16"/>
    <col min="13061" max="13061" width="25.44140625" style="16" customWidth="1"/>
    <col min="13062" max="13063" width="9.109375" style="16" customWidth="1"/>
    <col min="13064" max="13312" width="8.88671875" style="16"/>
    <col min="13313" max="13314" width="9.109375" style="16" customWidth="1"/>
    <col min="13315" max="13315" width="13.88671875" style="16" customWidth="1"/>
    <col min="13316" max="13316" width="8.88671875" style="16"/>
    <col min="13317" max="13317" width="25.44140625" style="16" customWidth="1"/>
    <col min="13318" max="13319" width="9.109375" style="16" customWidth="1"/>
    <col min="13320" max="13568" width="8.88671875" style="16"/>
    <col min="13569" max="13570" width="9.109375" style="16" customWidth="1"/>
    <col min="13571" max="13571" width="13.88671875" style="16" customWidth="1"/>
    <col min="13572" max="13572" width="8.88671875" style="16"/>
    <col min="13573" max="13573" width="25.44140625" style="16" customWidth="1"/>
    <col min="13574" max="13575" width="9.109375" style="16" customWidth="1"/>
    <col min="13576" max="13824" width="8.88671875" style="16"/>
    <col min="13825" max="13826" width="9.109375" style="16" customWidth="1"/>
    <col min="13827" max="13827" width="13.88671875" style="16" customWidth="1"/>
    <col min="13828" max="13828" width="8.88671875" style="16"/>
    <col min="13829" max="13829" width="25.44140625" style="16" customWidth="1"/>
    <col min="13830" max="13831" width="9.109375" style="16" customWidth="1"/>
    <col min="13832" max="14080" width="8.88671875" style="16"/>
    <col min="14081" max="14082" width="9.109375" style="16" customWidth="1"/>
    <col min="14083" max="14083" width="13.88671875" style="16" customWidth="1"/>
    <col min="14084" max="14084" width="8.88671875" style="16"/>
    <col min="14085" max="14085" width="25.44140625" style="16" customWidth="1"/>
    <col min="14086" max="14087" width="9.109375" style="16" customWidth="1"/>
    <col min="14088" max="14336" width="8.88671875" style="16"/>
    <col min="14337" max="14338" width="9.109375" style="16" customWidth="1"/>
    <col min="14339" max="14339" width="13.88671875" style="16" customWidth="1"/>
    <col min="14340" max="14340" width="8.88671875" style="16"/>
    <col min="14341" max="14341" width="25.44140625" style="16" customWidth="1"/>
    <col min="14342" max="14343" width="9.109375" style="16" customWidth="1"/>
    <col min="14344" max="14592" width="8.88671875" style="16"/>
    <col min="14593" max="14594" width="9.109375" style="16" customWidth="1"/>
    <col min="14595" max="14595" width="13.88671875" style="16" customWidth="1"/>
    <col min="14596" max="14596" width="8.88671875" style="16"/>
    <col min="14597" max="14597" width="25.44140625" style="16" customWidth="1"/>
    <col min="14598" max="14599" width="9.109375" style="16" customWidth="1"/>
    <col min="14600" max="14848" width="8.88671875" style="16"/>
    <col min="14849" max="14850" width="9.109375" style="16" customWidth="1"/>
    <col min="14851" max="14851" width="13.88671875" style="16" customWidth="1"/>
    <col min="14852" max="14852" width="8.88671875" style="16"/>
    <col min="14853" max="14853" width="25.44140625" style="16" customWidth="1"/>
    <col min="14854" max="14855" width="9.109375" style="16" customWidth="1"/>
    <col min="14856" max="15104" width="8.88671875" style="16"/>
    <col min="15105" max="15106" width="9.109375" style="16" customWidth="1"/>
    <col min="15107" max="15107" width="13.88671875" style="16" customWidth="1"/>
    <col min="15108" max="15108" width="8.88671875" style="16"/>
    <col min="15109" max="15109" width="25.44140625" style="16" customWidth="1"/>
    <col min="15110" max="15111" width="9.109375" style="16" customWidth="1"/>
    <col min="15112" max="15360" width="8.88671875" style="16"/>
    <col min="15361" max="15362" width="9.109375" style="16" customWidth="1"/>
    <col min="15363" max="15363" width="13.88671875" style="16" customWidth="1"/>
    <col min="15364" max="15364" width="8.88671875" style="16"/>
    <col min="15365" max="15365" width="25.44140625" style="16" customWidth="1"/>
    <col min="15366" max="15367" width="9.109375" style="16" customWidth="1"/>
    <col min="15368" max="15616" width="8.88671875" style="16"/>
    <col min="15617" max="15618" width="9.109375" style="16" customWidth="1"/>
    <col min="15619" max="15619" width="13.88671875" style="16" customWidth="1"/>
    <col min="15620" max="15620" width="8.88671875" style="16"/>
    <col min="15621" max="15621" width="25.44140625" style="16" customWidth="1"/>
    <col min="15622" max="15623" width="9.109375" style="16" customWidth="1"/>
    <col min="15624" max="15872" width="8.88671875" style="16"/>
    <col min="15873" max="15874" width="9.109375" style="16" customWidth="1"/>
    <col min="15875" max="15875" width="13.88671875" style="16" customWidth="1"/>
    <col min="15876" max="15876" width="8.88671875" style="16"/>
    <col min="15877" max="15877" width="25.44140625" style="16" customWidth="1"/>
    <col min="15878" max="15879" width="9.109375" style="16" customWidth="1"/>
    <col min="15880" max="16128" width="8.88671875" style="16"/>
    <col min="16129" max="16130" width="9.109375" style="16" customWidth="1"/>
    <col min="16131" max="16131" width="13.88671875" style="16" customWidth="1"/>
    <col min="16132" max="16132" width="8.88671875" style="16"/>
    <col min="16133" max="16133" width="25.44140625" style="16" customWidth="1"/>
    <col min="16134" max="16135" width="9.109375" style="16" customWidth="1"/>
    <col min="16136" max="16384" width="8.88671875" style="16"/>
  </cols>
  <sheetData>
    <row r="1" spans="1:17" ht="15.6" customHeight="1" x14ac:dyDescent="0.25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84" t="s">
        <v>3882</v>
      </c>
      <c r="M1" s="84"/>
      <c r="N1" s="84"/>
      <c r="O1" s="84"/>
      <c r="P1" s="84"/>
      <c r="Q1" s="20" t="s">
        <v>3885</v>
      </c>
    </row>
    <row r="2" spans="1:17" x14ac:dyDescent="0.25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84"/>
      <c r="M2" s="84"/>
      <c r="N2" s="84"/>
      <c r="O2" s="84"/>
      <c r="P2" s="84"/>
    </row>
    <row r="3" spans="1:17" x14ac:dyDescent="0.25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84"/>
      <c r="M3" s="84"/>
      <c r="N3" s="84"/>
      <c r="O3" s="84"/>
      <c r="P3" s="84"/>
    </row>
    <row r="4" spans="1:17" x14ac:dyDescent="0.25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25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25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77" t="s">
        <v>3883</v>
      </c>
      <c r="M6" s="77"/>
      <c r="N6" s="77"/>
      <c r="O6" s="77"/>
      <c r="P6" s="77"/>
      <c r="Q6" s="20" t="s">
        <v>3884</v>
      </c>
    </row>
    <row r="7" spans="1:17" x14ac:dyDescent="0.25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77"/>
      <c r="M7" s="77"/>
      <c r="N7" s="77"/>
      <c r="O7" s="77"/>
      <c r="P7" s="77"/>
    </row>
    <row r="8" spans="1:17" x14ac:dyDescent="0.25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77"/>
      <c r="M8" s="77"/>
      <c r="N8" s="77"/>
      <c r="O8" s="77"/>
      <c r="P8" s="77"/>
    </row>
    <row r="9" spans="1:17" x14ac:dyDescent="0.25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77"/>
      <c r="M9" s="77"/>
      <c r="N9" s="77"/>
      <c r="O9" s="77"/>
      <c r="P9" s="77"/>
    </row>
    <row r="10" spans="1:17" x14ac:dyDescent="0.25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25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25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82" t="s">
        <v>3892</v>
      </c>
      <c r="M12" s="82"/>
      <c r="N12" s="82"/>
      <c r="O12" s="82"/>
      <c r="P12" s="82"/>
      <c r="Q12" s="16" t="s">
        <v>3884</v>
      </c>
    </row>
    <row r="13" spans="1:17" x14ac:dyDescent="0.25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82"/>
      <c r="M13" s="82"/>
      <c r="N13" s="82"/>
      <c r="O13" s="82"/>
      <c r="P13" s="82"/>
    </row>
    <row r="14" spans="1:17" x14ac:dyDescent="0.25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82"/>
      <c r="M14" s="82"/>
      <c r="N14" s="82"/>
      <c r="O14" s="82"/>
      <c r="P14" s="82"/>
    </row>
    <row r="15" spans="1:17" x14ac:dyDescent="0.25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82"/>
      <c r="M15" s="82"/>
      <c r="N15" s="82"/>
      <c r="O15" s="82"/>
      <c r="P15" s="82"/>
    </row>
    <row r="16" spans="1:17" x14ac:dyDescent="0.25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8" x14ac:dyDescent="0.25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8" x14ac:dyDescent="0.25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8" x14ac:dyDescent="0.25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</row>
    <row r="20" spans="1:8" x14ac:dyDescent="0.25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8" x14ac:dyDescent="0.25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8" x14ac:dyDescent="0.25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8" x14ac:dyDescent="0.25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</row>
    <row r="24" spans="1:8" x14ac:dyDescent="0.25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</row>
    <row r="25" spans="1:8" x14ac:dyDescent="0.25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</row>
    <row r="26" spans="1:8" x14ac:dyDescent="0.25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</row>
    <row r="27" spans="1:8" x14ac:dyDescent="0.25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</row>
    <row r="28" spans="1:8" x14ac:dyDescent="0.25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</row>
    <row r="29" spans="1:8" x14ac:dyDescent="0.25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</row>
    <row r="30" spans="1:8" x14ac:dyDescent="0.25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</row>
    <row r="31" spans="1:8" x14ac:dyDescent="0.25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</row>
    <row r="32" spans="1:8" x14ac:dyDescent="0.25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</row>
    <row r="33" spans="1:8" x14ac:dyDescent="0.25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</row>
    <row r="34" spans="1:8" x14ac:dyDescent="0.25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</row>
    <row r="35" spans="1:8" x14ac:dyDescent="0.25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</row>
    <row r="36" spans="1:8" x14ac:dyDescent="0.25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</row>
    <row r="37" spans="1:8" x14ac:dyDescent="0.25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</row>
    <row r="38" spans="1:8" x14ac:dyDescent="0.25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</row>
    <row r="39" spans="1:8" x14ac:dyDescent="0.25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</row>
    <row r="40" spans="1:8" x14ac:dyDescent="0.25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</row>
    <row r="41" spans="1:8" x14ac:dyDescent="0.25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</row>
    <row r="42" spans="1:8" x14ac:dyDescent="0.25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</row>
    <row r="43" spans="1:8" x14ac:dyDescent="0.25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</row>
    <row r="44" spans="1:8" x14ac:dyDescent="0.25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</row>
    <row r="45" spans="1:8" x14ac:dyDescent="0.25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</row>
    <row r="46" spans="1:8" x14ac:dyDescent="0.25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</row>
    <row r="47" spans="1:8" x14ac:dyDescent="0.25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8" x14ac:dyDescent="0.25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25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25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25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25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25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25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25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25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25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25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25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25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25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25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25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25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25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25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25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25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25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25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25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25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25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25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25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25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25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25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25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25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25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25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25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25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25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25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25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25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25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25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25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25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25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25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25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25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25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25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25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25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25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25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25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25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25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25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25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25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25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25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25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25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25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25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25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25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25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25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25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25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25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25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25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25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25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25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25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25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25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25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25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25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25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25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25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25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25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25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25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25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25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25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25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25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25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25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25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25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25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25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25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25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25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25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25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25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25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25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25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25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25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25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25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25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25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25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25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25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25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25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25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25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25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25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25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25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25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25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25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25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25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25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25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25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25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25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25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25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25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25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25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25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25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25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25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25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25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25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25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25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25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25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25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25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25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25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25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25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25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25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25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25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25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25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25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25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25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25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25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25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25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25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25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25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25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25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25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25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25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25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25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25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25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25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25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25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25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25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25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25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25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25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25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25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25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25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25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25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25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25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25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25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25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25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25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25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25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25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25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25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25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25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25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25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25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25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25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25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25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25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25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25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25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25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25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25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25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25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25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25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25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25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25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25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25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25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25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25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25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25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25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25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25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25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25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25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25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25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25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25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25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25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25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25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25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25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25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25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25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25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25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25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25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25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25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25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25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25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25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25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25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25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25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25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25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25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25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25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25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25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25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25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25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25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25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25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25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25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25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25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25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25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25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25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25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25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25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25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25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25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25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25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25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25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25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25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25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25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25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25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25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25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25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25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25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25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25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25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25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25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25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25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25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25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25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25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25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25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25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25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25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25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25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25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25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25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25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25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25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25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25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25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25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25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25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25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25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25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25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25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25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25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25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25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25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25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25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25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25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25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25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25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25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25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25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25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25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25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25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25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25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25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25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25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25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25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25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25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25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25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25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25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25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25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25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25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25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25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25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25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25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25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25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25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25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25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25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25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25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25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25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25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25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25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25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25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25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25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25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25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25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25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25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25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25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25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25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25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25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25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25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25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25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25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25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25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25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25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25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25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25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25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25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25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25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25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25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25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25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25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25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25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25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25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25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25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25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25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25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25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25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25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25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25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25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25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25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25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25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25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25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25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25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25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25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25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25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25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25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25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25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25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25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25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25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25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25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25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25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25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25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25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25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25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25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25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25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25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25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25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25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25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25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25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25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25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25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25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25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25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25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25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25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25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25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25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25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25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25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25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25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25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25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25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25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25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25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25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25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25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25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25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25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25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25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25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25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25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25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25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25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25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25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25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25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25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25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25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25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25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25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25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25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25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25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25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25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25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25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25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25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25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25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25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25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25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25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25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25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25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25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25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25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25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25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25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25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25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25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25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25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25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25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25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25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25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25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25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25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25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25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25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25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25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25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25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25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25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25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25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25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25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25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25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25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25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25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25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25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25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25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25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25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25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25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25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25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25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25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25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25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25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25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25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25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25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25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25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25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25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25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25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25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25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25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25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25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25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25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25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25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25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25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25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25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25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25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25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25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25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25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25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25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25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25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25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25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25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25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25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25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25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25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25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25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25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25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25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25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25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25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25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25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25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25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25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25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25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25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25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25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25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25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25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25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25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25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25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25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25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25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25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25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25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25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25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25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25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25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25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25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25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25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25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25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25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25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25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25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25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25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25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25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25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25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25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25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25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25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25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25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25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25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25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25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25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25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25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25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25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25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25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25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25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25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25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25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25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25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25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25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25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25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25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25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25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25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25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25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25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25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25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25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25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25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25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25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25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25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25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25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25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25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25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25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25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25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25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25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25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25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25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25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25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25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25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25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25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25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25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25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25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25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25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25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25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25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25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25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25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25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25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25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25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25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25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25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25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25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25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25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25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25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25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25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25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25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25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25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25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25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25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25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25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25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25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25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25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25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25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25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25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25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25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25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25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25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25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25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25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25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25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25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25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25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25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25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25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25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25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25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25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25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25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25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25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25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25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25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25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25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25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25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25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25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25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25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25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25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25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25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25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25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25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25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25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25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25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25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25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25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25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25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25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25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25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25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25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25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25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25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25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25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25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25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25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25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25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25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25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25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25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25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25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25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25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25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25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25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25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25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25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25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25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25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25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25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25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25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25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25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25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25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25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25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25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25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25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25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25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25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25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25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25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25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25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25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25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25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25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25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25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25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25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25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25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25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25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25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25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25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25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25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25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25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25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25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25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25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25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25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25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25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25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25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25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25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25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25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25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25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25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25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25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25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25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25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25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25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25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25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25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25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25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25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25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25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25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25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25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25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25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25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25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25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25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25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25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25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25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25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25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25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25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25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25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25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25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25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25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25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25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25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25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25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25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25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25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25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25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25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25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25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25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25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25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25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25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25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25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25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25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25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25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25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25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25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25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25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25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25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25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25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25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25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25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25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25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25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25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25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25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25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25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25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25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25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25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25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25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25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25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25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25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25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25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25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25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25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25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25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25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25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25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25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25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25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25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25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25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25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25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25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25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25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25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25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25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25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25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25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25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25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25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25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25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25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25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25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25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25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25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25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25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25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25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25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25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25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25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25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25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25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25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25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25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25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25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25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25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25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25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25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25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25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25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25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25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25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25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25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25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25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25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25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25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25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25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25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25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25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25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25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25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25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25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25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25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25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25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25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25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25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25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25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25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25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25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25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25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25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25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25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25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25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25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25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25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25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25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25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25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25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25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25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25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25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25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25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25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25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25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25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25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25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25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25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25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25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25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25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25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25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25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25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25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25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25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25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25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25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25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25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25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25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25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25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25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25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25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25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25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25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25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25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25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25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25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25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25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25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25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25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25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25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25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25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25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25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25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25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25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25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25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25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25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25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25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25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25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25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25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25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25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25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25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25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25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25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25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25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25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25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25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25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25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25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25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25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25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25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25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25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25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25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25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25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25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25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25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25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25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25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25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25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25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25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25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25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25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25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25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25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25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25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25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25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25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25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25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25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25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25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25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25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25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25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25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25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25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25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25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25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25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25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25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25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25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25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25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25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25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25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25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25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25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25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25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25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25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25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25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25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25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25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25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25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25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25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25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25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25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25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25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25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25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25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25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25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25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25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25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25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25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25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25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25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25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25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25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25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25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25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25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25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25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25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25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25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25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25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25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25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25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25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25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25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25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25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25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25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25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25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25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25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25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25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25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25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25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25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25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25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25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25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25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25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25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25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25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25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25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25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25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25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25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25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25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25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25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25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25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25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25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25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25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25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25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25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25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25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25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25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25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25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25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25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25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25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25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25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25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25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25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25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25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25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25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25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25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25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25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25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25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25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25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25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25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25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25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25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25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25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25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25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25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25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25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25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25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25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25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25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25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25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25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25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autoFilter ref="B1:B1487" xr:uid="{662B4771-EC1D-4136-8EB4-6C219758A8A7}"/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E480-FB3B-49D3-8A42-EFE36A358D44}">
  <dimension ref="A1:I22"/>
  <sheetViews>
    <sheetView workbookViewId="0">
      <selection sqref="A1:F22"/>
    </sheetView>
  </sheetViews>
  <sheetFormatPr defaultRowHeight="13.2" x14ac:dyDescent="0.25"/>
  <sheetData>
    <row r="1" spans="1:9" x14ac:dyDescent="0.25">
      <c r="A1" s="35" t="s">
        <v>105</v>
      </c>
      <c r="B1" s="36" t="s">
        <v>106</v>
      </c>
      <c r="C1" s="36" t="s">
        <v>107</v>
      </c>
      <c r="D1" s="36" t="s">
        <v>108</v>
      </c>
      <c r="E1" s="35" t="s">
        <v>109</v>
      </c>
      <c r="F1" s="35" t="s">
        <v>110</v>
      </c>
    </row>
    <row r="2" spans="1:9" x14ac:dyDescent="0.25">
      <c r="A2" s="55" t="s">
        <v>124</v>
      </c>
      <c r="B2" s="16" t="s">
        <v>370</v>
      </c>
      <c r="C2" s="16" t="s">
        <v>380</v>
      </c>
      <c r="D2" s="16" t="s">
        <v>381</v>
      </c>
      <c r="E2" s="55" t="s">
        <v>382</v>
      </c>
      <c r="F2" s="55">
        <v>21.6</v>
      </c>
    </row>
    <row r="3" spans="1:9" x14ac:dyDescent="0.25">
      <c r="A3" s="55" t="s">
        <v>124</v>
      </c>
      <c r="B3" s="16" t="s">
        <v>672</v>
      </c>
      <c r="C3" s="16" t="s">
        <v>380</v>
      </c>
      <c r="D3" s="16" t="s">
        <v>673</v>
      </c>
      <c r="E3" s="55" t="s">
        <v>674</v>
      </c>
      <c r="F3" s="55">
        <v>30.6</v>
      </c>
    </row>
    <row r="4" spans="1:9" x14ac:dyDescent="0.25">
      <c r="A4" s="55" t="s">
        <v>271</v>
      </c>
      <c r="B4" s="16" t="s">
        <v>1075</v>
      </c>
      <c r="C4" s="16" t="s">
        <v>380</v>
      </c>
      <c r="D4" s="16" t="s">
        <v>1076</v>
      </c>
      <c r="E4" s="55" t="s">
        <v>1077</v>
      </c>
      <c r="F4" s="55">
        <v>43.3</v>
      </c>
    </row>
    <row r="5" spans="1:9" x14ac:dyDescent="0.25">
      <c r="A5" s="55" t="s">
        <v>124</v>
      </c>
      <c r="B5" s="16" t="s">
        <v>1145</v>
      </c>
      <c r="C5" s="16" t="s">
        <v>380</v>
      </c>
      <c r="D5" s="16" t="s">
        <v>121</v>
      </c>
      <c r="E5" s="55" t="s">
        <v>1148</v>
      </c>
      <c r="F5" s="55">
        <v>30.8</v>
      </c>
    </row>
    <row r="6" spans="1:9" x14ac:dyDescent="0.25">
      <c r="A6" s="55" t="s">
        <v>124</v>
      </c>
      <c r="B6" s="16" t="s">
        <v>1478</v>
      </c>
      <c r="C6" s="16" t="s">
        <v>380</v>
      </c>
      <c r="D6" s="16" t="s">
        <v>115</v>
      </c>
      <c r="E6" s="55" t="s">
        <v>1479</v>
      </c>
      <c r="F6" s="55">
        <v>20.8</v>
      </c>
    </row>
    <row r="7" spans="1:9" x14ac:dyDescent="0.25">
      <c r="A7" s="55" t="s">
        <v>124</v>
      </c>
      <c r="B7" s="16" t="s">
        <v>1726</v>
      </c>
      <c r="C7" s="16" t="s">
        <v>380</v>
      </c>
      <c r="D7" s="16" t="s">
        <v>345</v>
      </c>
      <c r="E7" s="55" t="s">
        <v>655</v>
      </c>
      <c r="F7" s="55">
        <v>28.2</v>
      </c>
    </row>
    <row r="8" spans="1:9" x14ac:dyDescent="0.25">
      <c r="A8" s="55" t="s">
        <v>124</v>
      </c>
      <c r="B8" s="16" t="s">
        <v>2129</v>
      </c>
      <c r="C8" s="16" t="s">
        <v>380</v>
      </c>
      <c r="D8" s="16" t="s">
        <v>685</v>
      </c>
      <c r="E8" s="55" t="s">
        <v>2130</v>
      </c>
      <c r="F8" s="55">
        <v>25.6</v>
      </c>
    </row>
    <row r="9" spans="1:9" x14ac:dyDescent="0.25">
      <c r="A9" s="55" t="s">
        <v>415</v>
      </c>
      <c r="B9" s="16" t="s">
        <v>2168</v>
      </c>
      <c r="C9" s="16" t="s">
        <v>380</v>
      </c>
      <c r="D9" s="16" t="s">
        <v>2169</v>
      </c>
      <c r="E9" s="55" t="s">
        <v>2170</v>
      </c>
      <c r="F9" s="55">
        <v>43.2</v>
      </c>
    </row>
    <row r="10" spans="1:9" x14ac:dyDescent="0.25">
      <c r="A10" s="55" t="s">
        <v>124</v>
      </c>
      <c r="B10" s="16" t="s">
        <v>2254</v>
      </c>
      <c r="C10" s="16" t="s">
        <v>380</v>
      </c>
      <c r="D10" s="16" t="s">
        <v>673</v>
      </c>
      <c r="E10" s="55" t="s">
        <v>2257</v>
      </c>
      <c r="F10" s="55">
        <v>20.6</v>
      </c>
    </row>
    <row r="11" spans="1:9" x14ac:dyDescent="0.25">
      <c r="A11" s="55" t="s">
        <v>118</v>
      </c>
      <c r="B11" s="16" t="s">
        <v>2274</v>
      </c>
      <c r="C11" s="16" t="s">
        <v>380</v>
      </c>
      <c r="D11" s="16" t="s">
        <v>2275</v>
      </c>
      <c r="E11" s="55" t="s">
        <v>2276</v>
      </c>
      <c r="F11" s="55">
        <v>23.2</v>
      </c>
    </row>
    <row r="12" spans="1:9" x14ac:dyDescent="0.25">
      <c r="A12" s="55" t="s">
        <v>124</v>
      </c>
      <c r="B12" s="16" t="s">
        <v>2429</v>
      </c>
      <c r="C12" s="16" t="s">
        <v>380</v>
      </c>
      <c r="D12" s="16" t="s">
        <v>121</v>
      </c>
      <c r="E12" s="55" t="s">
        <v>2430</v>
      </c>
      <c r="F12" s="55">
        <v>33.700000000000003</v>
      </c>
    </row>
    <row r="13" spans="1:9" x14ac:dyDescent="0.25">
      <c r="A13" s="55" t="s">
        <v>124</v>
      </c>
      <c r="B13" s="16" t="s">
        <v>2458</v>
      </c>
      <c r="C13" s="16" t="s">
        <v>380</v>
      </c>
      <c r="D13" s="16" t="s">
        <v>611</v>
      </c>
      <c r="E13" s="55" t="s">
        <v>2459</v>
      </c>
      <c r="F13" s="55">
        <v>20.7</v>
      </c>
    </row>
    <row r="14" spans="1:9" x14ac:dyDescent="0.25">
      <c r="A14" s="55" t="s">
        <v>124</v>
      </c>
      <c r="B14" s="16" t="s">
        <v>2617</v>
      </c>
      <c r="C14" s="16" t="s">
        <v>380</v>
      </c>
      <c r="D14" s="16" t="s">
        <v>121</v>
      </c>
      <c r="E14" s="55" t="s">
        <v>2631</v>
      </c>
      <c r="F14" s="55">
        <v>22.2</v>
      </c>
      <c r="H14" s="49" t="s">
        <v>3916</v>
      </c>
      <c r="I14" s="49">
        <f>COUNTA(C2:C22)</f>
        <v>21</v>
      </c>
    </row>
    <row r="15" spans="1:9" x14ac:dyDescent="0.25">
      <c r="A15" s="55" t="s">
        <v>124</v>
      </c>
      <c r="B15" s="16" t="s">
        <v>2830</v>
      </c>
      <c r="C15" s="16" t="s">
        <v>380</v>
      </c>
      <c r="D15" s="16" t="s">
        <v>121</v>
      </c>
      <c r="E15" s="55" t="s">
        <v>2831</v>
      </c>
      <c r="F15" s="55">
        <v>26.3</v>
      </c>
    </row>
    <row r="16" spans="1:9" x14ac:dyDescent="0.25">
      <c r="A16" s="55" t="s">
        <v>172</v>
      </c>
      <c r="B16" s="16" t="s">
        <v>3120</v>
      </c>
      <c r="C16" s="16" t="s">
        <v>380</v>
      </c>
      <c r="D16" s="16" t="s">
        <v>121</v>
      </c>
      <c r="E16" s="55" t="s">
        <v>3122</v>
      </c>
      <c r="F16" s="55">
        <v>16.899999999999999</v>
      </c>
    </row>
    <row r="17" spans="1:6" x14ac:dyDescent="0.25">
      <c r="A17" s="55" t="s">
        <v>118</v>
      </c>
      <c r="B17" s="16" t="s">
        <v>3221</v>
      </c>
      <c r="C17" s="16" t="s">
        <v>380</v>
      </c>
      <c r="D17" s="16" t="s">
        <v>3221</v>
      </c>
      <c r="E17" s="55" t="s">
        <v>2775</v>
      </c>
      <c r="F17" s="55">
        <v>27.5</v>
      </c>
    </row>
    <row r="18" spans="1:6" x14ac:dyDescent="0.25">
      <c r="A18" s="55" t="s">
        <v>118</v>
      </c>
      <c r="B18" s="16" t="s">
        <v>3368</v>
      </c>
      <c r="C18" s="16" t="s">
        <v>380</v>
      </c>
      <c r="D18" s="16" t="s">
        <v>845</v>
      </c>
      <c r="E18" s="55" t="s">
        <v>3369</v>
      </c>
      <c r="F18" s="55">
        <v>32.700000000000003</v>
      </c>
    </row>
    <row r="19" spans="1:6" x14ac:dyDescent="0.25">
      <c r="A19" s="55" t="s">
        <v>124</v>
      </c>
      <c r="B19" s="16" t="s">
        <v>3604</v>
      </c>
      <c r="C19" s="16" t="s">
        <v>380</v>
      </c>
      <c r="D19" s="16" t="s">
        <v>658</v>
      </c>
      <c r="E19" s="55" t="s">
        <v>3605</v>
      </c>
      <c r="F19" s="55">
        <v>33.299999999999997</v>
      </c>
    </row>
    <row r="20" spans="1:6" x14ac:dyDescent="0.25">
      <c r="A20" s="55" t="s">
        <v>124</v>
      </c>
      <c r="B20" s="16" t="s">
        <v>3809</v>
      </c>
      <c r="C20" s="16" t="s">
        <v>380</v>
      </c>
      <c r="D20" s="16" t="s">
        <v>673</v>
      </c>
      <c r="E20" s="55" t="s">
        <v>3810</v>
      </c>
      <c r="F20" s="55">
        <v>21.6</v>
      </c>
    </row>
    <row r="21" spans="1:6" x14ac:dyDescent="0.25">
      <c r="A21" s="55" t="s">
        <v>124</v>
      </c>
      <c r="B21" s="16" t="s">
        <v>3828</v>
      </c>
      <c r="C21" s="16" t="s">
        <v>380</v>
      </c>
      <c r="D21" s="16" t="s">
        <v>115</v>
      </c>
      <c r="E21" s="55" t="s">
        <v>716</v>
      </c>
      <c r="F21" s="55">
        <v>26.3</v>
      </c>
    </row>
    <row r="22" spans="1:6" x14ac:dyDescent="0.25">
      <c r="A22" s="55" t="s">
        <v>118</v>
      </c>
      <c r="B22" s="16" t="s">
        <v>3864</v>
      </c>
      <c r="C22" s="16" t="s">
        <v>380</v>
      </c>
      <c r="D22" s="16" t="s">
        <v>121</v>
      </c>
      <c r="E22" s="55" t="s">
        <v>3865</v>
      </c>
      <c r="F22" s="55">
        <v>25.8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23"/>
  <sheetViews>
    <sheetView workbookViewId="0">
      <selection activeCell="E2" sqref="E2:E3"/>
    </sheetView>
  </sheetViews>
  <sheetFormatPr defaultRowHeight="13.2" x14ac:dyDescent="0.25"/>
  <cols>
    <col min="1" max="1" width="7.5546875" style="4" customWidth="1"/>
    <col min="2" max="2" width="8.88671875" style="4"/>
  </cols>
  <sheetData>
    <row r="1" spans="1:18" ht="34.950000000000003" customHeight="1" x14ac:dyDescent="0.25">
      <c r="A1" s="45" t="s">
        <v>3893</v>
      </c>
      <c r="B1" s="46" t="s">
        <v>3894</v>
      </c>
      <c r="E1" s="78" t="s">
        <v>3895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</row>
    <row r="2" spans="1:18" ht="18" customHeight="1" x14ac:dyDescent="0.25">
      <c r="A2" s="47">
        <v>0</v>
      </c>
      <c r="B2" s="47">
        <v>1</v>
      </c>
      <c r="D2" s="3">
        <v>27</v>
      </c>
      <c r="E2" s="83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25">
      <c r="A3" s="47">
        <v>10</v>
      </c>
      <c r="B3" s="47">
        <v>1.17</v>
      </c>
      <c r="D3" s="58">
        <v>28</v>
      </c>
      <c r="E3" s="83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25">
      <c r="A4" s="47">
        <v>25</v>
      </c>
      <c r="B4" s="47">
        <v>1.48</v>
      </c>
    </row>
    <row r="5" spans="1:18" ht="18" customHeight="1" x14ac:dyDescent="0.25">
      <c r="A5" s="47">
        <v>45</v>
      </c>
      <c r="B5" s="47">
        <v>2.2799999999999998</v>
      </c>
    </row>
    <row r="6" spans="1:18" ht="18" customHeight="1" x14ac:dyDescent="0.25">
      <c r="A6" s="47">
        <v>49.5</v>
      </c>
      <c r="B6" s="47">
        <v>3.3</v>
      </c>
    </row>
    <row r="7" spans="1:18" ht="18" customHeight="1" x14ac:dyDescent="0.25">
      <c r="A7" s="47">
        <v>49.75</v>
      </c>
      <c r="B7" s="47">
        <v>3.6</v>
      </c>
    </row>
    <row r="8" spans="1:18" ht="18" customHeight="1" x14ac:dyDescent="0.25">
      <c r="A8" s="47">
        <v>50</v>
      </c>
      <c r="B8" s="47">
        <v>7</v>
      </c>
      <c r="R8" t="s">
        <v>3898</v>
      </c>
    </row>
    <row r="9" spans="1:18" ht="18" customHeight="1" x14ac:dyDescent="0.25">
      <c r="A9" s="47">
        <v>50.25</v>
      </c>
      <c r="B9" s="47">
        <v>10.4</v>
      </c>
    </row>
    <row r="10" spans="1:18" ht="18" customHeight="1" x14ac:dyDescent="0.25">
      <c r="A10" s="47">
        <v>55</v>
      </c>
      <c r="B10" s="47">
        <v>11.68</v>
      </c>
    </row>
    <row r="11" spans="1:18" ht="18" customHeight="1" x14ac:dyDescent="0.25">
      <c r="A11" s="47">
        <v>60</v>
      </c>
      <c r="B11" s="47">
        <v>11.96</v>
      </c>
    </row>
    <row r="19" spans="17:18" x14ac:dyDescent="0.25">
      <c r="Q19" s="49" cm="1">
        <f t="array" ref="Q19:R19">LINEST(A2:A11,B2:B11)</f>
        <v>3.3392496228906956</v>
      </c>
      <c r="R19" s="49">
        <v>21.461462281487826</v>
      </c>
    </row>
    <row r="22" spans="17:18" x14ac:dyDescent="0.25">
      <c r="Q22" s="49" t="s">
        <v>3920</v>
      </c>
      <c r="R22" s="49"/>
    </row>
    <row r="23" spans="17:18" x14ac:dyDescent="0.25">
      <c r="Q23" s="49" t="s">
        <v>3921</v>
      </c>
      <c r="R23" s="49"/>
    </row>
  </sheetData>
  <mergeCells count="1">
    <mergeCell ref="E1:Q1"/>
  </mergeCells>
  <phoneticPr fontId="2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MTB</vt:lpstr>
      <vt:lpstr>velo</vt:lpstr>
      <vt:lpstr>KĀRLIS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Aija Lūse</cp:lastModifiedBy>
  <cp:lastPrinted>2014-11-15T13:20:28Z</cp:lastPrinted>
  <dcterms:created xsi:type="dcterms:W3CDTF">2014-03-10T14:05:11Z</dcterms:created>
  <dcterms:modified xsi:type="dcterms:W3CDTF">2026-01-23T12:23:16Z</dcterms:modified>
</cp:coreProperties>
</file>